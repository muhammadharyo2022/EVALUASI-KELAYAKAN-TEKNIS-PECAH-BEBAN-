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KRIPSI\Lampiran Skripsi\"/>
    </mc:Choice>
  </mc:AlternateContent>
  <xr:revisionPtr revIDLastSave="0" documentId="13_ncr:1_{D63316FE-D75F-47DD-BC1C-CB677E52EBD4}" xr6:coauthVersionLast="47" xr6:coauthVersionMax="47" xr10:uidLastSave="{00000000-0000-0000-0000-000000000000}"/>
  <bookViews>
    <workbookView xWindow="2730" yWindow="2730" windowWidth="14190" windowHeight="11295" activeTab="1" xr2:uid="{261B9DEB-9B6A-4A0D-BE61-6CDB2B88F1C8}"/>
  </bookViews>
  <sheets>
    <sheet name="Eksisting" sheetId="1" r:id="rId1"/>
    <sheet name="Eksistin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  <c r="F5" i="2"/>
  <c r="C10" i="2" s="1"/>
  <c r="F4" i="2"/>
  <c r="C9" i="2" s="1"/>
  <c r="F7" i="1"/>
  <c r="D29" i="1"/>
  <c r="D30" i="1"/>
  <c r="C30" i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6" i="1"/>
</calcChain>
</file>

<file path=xl/sharedStrings.xml><?xml version="1.0" encoding="utf-8"?>
<sst xmlns="http://schemas.openxmlformats.org/spreadsheetml/2006/main" count="148" uniqueCount="99">
  <si>
    <t>Load Flow Report</t>
  </si>
  <si>
    <t>Bus</t>
  </si>
  <si>
    <t>Voltage</t>
  </si>
  <si>
    <t>ID</t>
  </si>
  <si>
    <t>kV</t>
  </si>
  <si>
    <t>%Mag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</si>
  <si>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</si>
  <si>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</si>
  <si>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</si>
  <si>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</si>
  <si>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</si>
  <si>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</si>
  <si>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</si>
  <si>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</si>
  <si>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</si>
  <si>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</si>
  <si>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</si>
  <si>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</si>
  <si>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</si>
  <si>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</si>
  <si>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</si>
  <si>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</si>
  <si>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</si>
  <si>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</si>
  <si>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</si>
  <si>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Ang,</t>
  </si>
  <si>
    <t>Actual kV</t>
  </si>
  <si>
    <t>Hasil Profil Tegangan</t>
  </si>
  <si>
    <t>Bus ID</t>
  </si>
  <si>
    <t>Tegangan kV</t>
  </si>
  <si>
    <t>Tingkat Pembebanan Penyulang Kondisi Eksisting</t>
  </si>
  <si>
    <t>Penyulang</t>
  </si>
  <si>
    <t>Penghantar Utama</t>
  </si>
  <si>
    <t>Arus Beban (A)</t>
  </si>
  <si>
    <t>KHA (A)</t>
  </si>
  <si>
    <t>Tingkat Pembebanan (%)</t>
  </si>
  <si>
    <t>Status</t>
  </si>
  <si>
    <t>KTN 05</t>
  </si>
  <si>
    <t>KTN 06</t>
  </si>
  <si>
    <t>Cable1</t>
  </si>
  <si>
    <t>Memenuhi</t>
  </si>
  <si>
    <t>Deviasi %</t>
  </si>
  <si>
    <t>Cable8</t>
  </si>
  <si>
    <t>No.</t>
  </si>
  <si>
    <t>Segmen</t>
  </si>
  <si>
    <r>
      <t xml:space="preserve">Dari </t>
    </r>
    <r>
      <rPr>
        <i/>
        <sz val="11"/>
        <color rgb="FF000000"/>
        <rFont val="Calibri"/>
        <family val="2"/>
      </rPr>
      <t>-</t>
    </r>
    <r>
      <rPr>
        <sz val="12"/>
        <color rgb="FF000000"/>
        <rFont val="Times New Roman"/>
        <family val="1"/>
      </rPr>
      <t xml:space="preserve"> Ke</t>
    </r>
  </si>
  <si>
    <t>Losses (kW)</t>
  </si>
  <si>
    <t>Losses (kvar)</t>
  </si>
  <si>
    <t>Keterangan</t>
  </si>
  <si>
    <r>
      <t>Cable</t>
    </r>
    <r>
      <rPr>
        <sz val="12"/>
        <color theme="1"/>
        <rFont val="Times New Roman"/>
        <family val="1"/>
      </rPr>
      <t>1</t>
    </r>
  </si>
  <si>
    <r>
      <t xml:space="preserve">Bus2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Bus3</t>
    </r>
  </si>
  <si>
    <t>Saluran utama KTN 05</t>
  </si>
  <si>
    <r>
      <t>Cable</t>
    </r>
    <r>
      <rPr>
        <sz val="12"/>
        <color theme="1"/>
        <rFont val="Times New Roman"/>
        <family val="1"/>
      </rPr>
      <t>2</t>
    </r>
  </si>
  <si>
    <r>
      <t xml:space="preserve">Bus3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Bus4</t>
    </r>
  </si>
  <si>
    <r>
      <t>Cable</t>
    </r>
    <r>
      <rPr>
        <sz val="12"/>
        <color theme="1"/>
        <rFont val="Times New Roman"/>
        <family val="1"/>
      </rPr>
      <t>3</t>
    </r>
  </si>
  <si>
    <r>
      <t xml:space="preserve">Bus5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Bus4</t>
    </r>
  </si>
  <si>
    <t>Cabang Hyatt (KTN 05)</t>
  </si>
  <si>
    <r>
      <t>Cable</t>
    </r>
    <r>
      <rPr>
        <sz val="12"/>
        <color theme="1"/>
        <rFont val="Times New Roman"/>
        <family val="1"/>
      </rPr>
      <t>5</t>
    </r>
  </si>
  <si>
    <r>
      <t xml:space="preserve">Bus4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Bus6</t>
    </r>
  </si>
  <si>
    <t>KTN 05 (arus rendah)</t>
  </si>
  <si>
    <r>
      <t>Cable</t>
    </r>
    <r>
      <rPr>
        <sz val="12"/>
        <color theme="1"/>
        <rFont val="Times New Roman"/>
        <family val="1"/>
      </rPr>
      <t>6</t>
    </r>
  </si>
  <si>
    <r>
      <t xml:space="preserve">Bus6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Bus7</t>
    </r>
  </si>
  <si>
    <r>
      <t>Cable</t>
    </r>
    <r>
      <rPr>
        <sz val="12"/>
        <color theme="1"/>
        <rFont val="Times New Roman"/>
        <family val="1"/>
      </rPr>
      <t>7</t>
    </r>
  </si>
  <si>
    <r>
      <t xml:space="preserve">Bus7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Bus8</t>
    </r>
  </si>
  <si>
    <t>KTN 05 (dead end)</t>
  </si>
  <si>
    <r>
      <t>Cable</t>
    </r>
    <r>
      <rPr>
        <sz val="12"/>
        <color theme="1"/>
        <rFont val="Times New Roman"/>
        <family val="1"/>
      </rPr>
      <t>26</t>
    </r>
  </si>
  <si>
    <r>
      <t xml:space="preserve">Bus4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Bus19</t>
    </r>
  </si>
  <si>
    <r>
      <t>Cable</t>
    </r>
    <r>
      <rPr>
        <sz val="12"/>
        <color theme="1"/>
        <rFont val="Times New Roman"/>
        <family val="1"/>
      </rPr>
      <t>8</t>
    </r>
  </si>
  <si>
    <r>
      <t xml:space="preserve">Bus9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Bus10</t>
    </r>
  </si>
  <si>
    <t>Saluran utama KTN 06</t>
  </si>
  <si>
    <r>
      <t>Cable</t>
    </r>
    <r>
      <rPr>
        <sz val="12"/>
        <color theme="1"/>
        <rFont val="Times New Roman"/>
        <family val="1"/>
      </rPr>
      <t>9</t>
    </r>
  </si>
  <si>
    <r>
      <t xml:space="preserve">Bus10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Bus11</t>
    </r>
  </si>
  <si>
    <r>
      <t>Cable</t>
    </r>
    <r>
      <rPr>
        <sz val="12"/>
        <color theme="1"/>
        <rFont val="Times New Roman"/>
        <family val="1"/>
      </rPr>
      <t>10</t>
    </r>
  </si>
  <si>
    <r>
      <t xml:space="preserve">Bus11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Bus12</t>
    </r>
  </si>
  <si>
    <r>
      <t>Cable</t>
    </r>
    <r>
      <rPr>
        <sz val="12"/>
        <color theme="1"/>
        <rFont val="Times New Roman"/>
        <family val="1"/>
      </rPr>
      <t>11</t>
    </r>
  </si>
  <si>
    <r>
      <t xml:space="preserve">Bus12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Bus13</t>
    </r>
  </si>
  <si>
    <t>Cabang MMTC (KTN 06)</t>
  </si>
  <si>
    <r>
      <t>Cable</t>
    </r>
    <r>
      <rPr>
        <sz val="12"/>
        <color theme="1"/>
        <rFont val="Times New Roman"/>
        <family val="1"/>
      </rPr>
      <t>12</t>
    </r>
  </si>
  <si>
    <r>
      <t xml:space="preserve">Bus12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Bus14</t>
    </r>
  </si>
  <si>
    <t>Cabang Hotel The Rich (KTN 06)</t>
  </si>
  <si>
    <r>
      <t>Cable</t>
    </r>
    <r>
      <rPr>
        <sz val="12"/>
        <color theme="1"/>
        <rFont val="Times New Roman"/>
        <family val="1"/>
      </rPr>
      <t>13</t>
    </r>
  </si>
  <si>
    <r>
      <t xml:space="preserve">Bus12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Bus16</t>
    </r>
  </si>
  <si>
    <t>Cabang TVRI (KTN 06)</t>
  </si>
  <si>
    <r>
      <t>Cable</t>
    </r>
    <r>
      <rPr>
        <sz val="12"/>
        <color theme="1"/>
        <rFont val="Times New Roman"/>
        <family val="1"/>
      </rPr>
      <t>19</t>
    </r>
  </si>
  <si>
    <r>
      <t xml:space="preserve">Bus12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Bus15</t>
    </r>
  </si>
  <si>
    <t>Cabang JCM (KTN 06)</t>
  </si>
  <si>
    <r>
      <t>Cable</t>
    </r>
    <r>
      <rPr>
        <sz val="12"/>
        <color theme="1"/>
        <rFont val="Times New Roman"/>
        <family val="1"/>
      </rPr>
      <t>21</t>
    </r>
  </si>
  <si>
    <r>
      <t xml:space="preserve">Bus16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Bus17</t>
    </r>
  </si>
  <si>
    <r>
      <t>Cable</t>
    </r>
    <r>
      <rPr>
        <sz val="12"/>
        <color theme="1"/>
        <rFont val="Times New Roman"/>
        <family val="1"/>
      </rPr>
      <t>23</t>
    </r>
  </si>
  <si>
    <r>
      <t xml:space="preserve">Bus16 </t>
    </r>
    <r>
      <rPr>
        <i/>
        <sz val="11"/>
        <color theme="1"/>
        <rFont val="Calibri"/>
        <family val="2"/>
      </rPr>
      <t>-</t>
    </r>
    <r>
      <rPr>
        <sz val="12"/>
        <color theme="1"/>
        <rFont val="Times New Roman"/>
        <family val="1"/>
      </rPr>
      <t xml:space="preserve"> Bus18</t>
    </r>
  </si>
  <si>
    <t>TRAFO_05</t>
  </si>
  <si>
    <t>GI Kentungan → Bus2</t>
  </si>
  <si>
    <t>Trafo 150/20 kV KTN 05</t>
  </si>
  <si>
    <t>TRAFO_06</t>
  </si>
  <si>
    <t>GI Kentungan → Bus9</t>
  </si>
  <si>
    <t>Trafo 150/20 kV KTN 06</t>
  </si>
  <si>
    <t>Total</t>
  </si>
  <si>
    <t>Seluruh sistem</t>
  </si>
  <si>
    <t>Total losses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</si>
</sst>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9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  <font>
      <sz val="8"/>
      <name val="Aptos Narrow"/>
      <family val="2"/>
      <charset val="1"/>
      <scheme val="minor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6" fontId="0" fillId="0" borderId="1" xfId="0" applyNumberFormat="1" applyBorder="1"/>
    <xf numFmtId="0" fontId="3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2" fontId="1" fillId="0" borderId="1" xfId="0" applyNumberFormat="1" applyFont="1" applyBorder="1"/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2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Profil Tegangan Hasil Simulasi Load Flow Kondisi Eksisting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Eksisting!$C$28</c:f>
              <c:strCache>
                <c:ptCount val="1"/>
                <c:pt idx="0">
                  <c:v>Tegangan kV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Eksisting!$B$29:$B$46</c:f>
              <c:strCache>
                <c:ptCount val="18"/>
                <c:pt idx="0">
                  <c:v>Bus2</c:v>
                </c:pt>
                <c:pt idx="1">
                  <c:v>Bus3</c:v>
                </c:pt>
                <c:pt idx="2">
                  <c:v>Bus4</c:v>
                </c:pt>
                <c:pt idx="3">
                  <c:v>Bus5</c:v>
                </c:pt>
                <c:pt idx="4">
                  <c:v>Bus6</c:v>
                </c:pt>
                <c:pt idx="5">
                  <c:v>Bus7</c:v>
                </c:pt>
                <c:pt idx="6">
                  <c:v>Bus8</c:v>
                </c:pt>
                <c:pt idx="7">
                  <c:v>Bus9</c:v>
                </c:pt>
                <c:pt idx="8">
                  <c:v>Bus10</c:v>
                </c:pt>
                <c:pt idx="9">
                  <c:v>Bus11</c:v>
                </c:pt>
                <c:pt idx="10">
                  <c:v>Bus12</c:v>
                </c:pt>
                <c:pt idx="11">
                  <c:v>Bus13</c:v>
                </c:pt>
                <c:pt idx="12">
                  <c:v>Bus14</c:v>
                </c:pt>
                <c:pt idx="13">
                  <c:v>Bus15</c:v>
                </c:pt>
                <c:pt idx="14">
                  <c:v>Bus16</c:v>
                </c:pt>
                <c:pt idx="15">
                  <c:v>Bus17</c:v>
                </c:pt>
                <c:pt idx="16">
                  <c:v>Bus18</c:v>
                </c:pt>
                <c:pt idx="17">
                  <c:v>Bus19</c:v>
                </c:pt>
              </c:strCache>
            </c:strRef>
          </c:cat>
          <c:val>
            <c:numRef>
              <c:f>Eksisting!$C$29:$C$46</c:f>
              <c:numCache>
                <c:formatCode>0.000</c:formatCode>
                <c:ptCount val="18"/>
                <c:pt idx="0">
                  <c:v>19.991399999999999</c:v>
                </c:pt>
                <c:pt idx="1">
                  <c:v>19.970400000000001</c:v>
                </c:pt>
                <c:pt idx="2">
                  <c:v>19.949200000000001</c:v>
                </c:pt>
                <c:pt idx="3">
                  <c:v>19.928000000000001</c:v>
                </c:pt>
                <c:pt idx="4">
                  <c:v>19.949200000000001</c:v>
                </c:pt>
                <c:pt idx="5">
                  <c:v>19.949200000000001</c:v>
                </c:pt>
                <c:pt idx="6">
                  <c:v>19.949200000000001</c:v>
                </c:pt>
                <c:pt idx="7">
                  <c:v>19.892200000000003</c:v>
                </c:pt>
                <c:pt idx="8">
                  <c:v>19.750800000000002</c:v>
                </c:pt>
                <c:pt idx="9">
                  <c:v>19.6096</c:v>
                </c:pt>
                <c:pt idx="10">
                  <c:v>19.469200000000001</c:v>
                </c:pt>
                <c:pt idx="11">
                  <c:v>19.445</c:v>
                </c:pt>
                <c:pt idx="12">
                  <c:v>19.450200000000002</c:v>
                </c:pt>
                <c:pt idx="13">
                  <c:v>19.391400000000001</c:v>
                </c:pt>
                <c:pt idx="14">
                  <c:v>19.450200000000002</c:v>
                </c:pt>
                <c:pt idx="15">
                  <c:v>19.431000000000001</c:v>
                </c:pt>
                <c:pt idx="16">
                  <c:v>19.450200000000002</c:v>
                </c:pt>
                <c:pt idx="17">
                  <c:v>19.949200000000001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8-445A-B2CB-7D267C6C2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933168"/>
        <c:axId val="1915918288"/>
      </c:lineChart>
      <c:catAx>
        <c:axId val="191593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18288"/>
        <c:crosses val="autoZero"/>
        <c:auto val="1"/>
        <c:lblAlgn val="ctr"/>
        <c:lblOffset val="100"/>
        <c:noMultiLvlLbl val="0"/>
      </c:catAx>
      <c:valAx>
        <c:axId val="191591828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Deviasi Tegangan</a:t>
            </a:r>
            <a:r>
              <a:rPr lang="en-US" baseline="0"/>
              <a:t> Bus</a:t>
            </a:r>
            <a:r>
              <a:rPr lang="en-US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Eksisting!$D$28</c:f>
              <c:strCache>
                <c:ptCount val="1"/>
                <c:pt idx="0">
                  <c:v>Deviasi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Eksisting!$B$29:$B$46</c:f>
              <c:strCache>
                <c:ptCount val="18"/>
                <c:pt idx="0">
                  <c:v>Bus2</c:v>
                </c:pt>
                <c:pt idx="1">
                  <c:v>Bus3</c:v>
                </c:pt>
                <c:pt idx="2">
                  <c:v>Bus4</c:v>
                </c:pt>
                <c:pt idx="3">
                  <c:v>Bus5</c:v>
                </c:pt>
                <c:pt idx="4">
                  <c:v>Bus6</c:v>
                </c:pt>
                <c:pt idx="5">
                  <c:v>Bus7</c:v>
                </c:pt>
                <c:pt idx="6">
                  <c:v>Bus8</c:v>
                </c:pt>
                <c:pt idx="7">
                  <c:v>Bus9</c:v>
                </c:pt>
                <c:pt idx="8">
                  <c:v>Bus10</c:v>
                </c:pt>
                <c:pt idx="9">
                  <c:v>Bus11</c:v>
                </c:pt>
                <c:pt idx="10">
                  <c:v>Bus12</c:v>
                </c:pt>
                <c:pt idx="11">
                  <c:v>Bus13</c:v>
                </c:pt>
                <c:pt idx="12">
                  <c:v>Bus14</c:v>
                </c:pt>
                <c:pt idx="13">
                  <c:v>Bus15</c:v>
                </c:pt>
                <c:pt idx="14">
                  <c:v>Bus16</c:v>
                </c:pt>
                <c:pt idx="15">
                  <c:v>Bus17</c:v>
                </c:pt>
                <c:pt idx="16">
                  <c:v>Bus18</c:v>
                </c:pt>
                <c:pt idx="17">
                  <c:v>Bus19</c:v>
                </c:pt>
              </c:strCache>
            </c:strRef>
          </c:cat>
          <c:val>
            <c:numRef>
              <c:f>Eksisting!$D$29:$D$46</c:f>
              <c:numCache>
                <c:formatCode>General</c:formatCode>
                <c:ptCount val="18"/>
                <c:pt idx="0">
                  <c:v>-4.3000000000006366E-2</c:v>
                </c:pt>
                <c:pt idx="1">
                  <c:v>-0.14799999999999258</c:v>
                </c:pt>
                <c:pt idx="2">
                  <c:v>-0.25399999999999423</c:v>
                </c:pt>
                <c:pt idx="3" formatCode="0.000">
                  <c:v>-0.35999999999999588</c:v>
                </c:pt>
                <c:pt idx="4">
                  <c:v>-0.25399999999999423</c:v>
                </c:pt>
                <c:pt idx="5">
                  <c:v>-0.25399999999999423</c:v>
                </c:pt>
                <c:pt idx="6">
                  <c:v>-0.25399999999999423</c:v>
                </c:pt>
                <c:pt idx="7">
                  <c:v>-0.53899999999998727</c:v>
                </c:pt>
                <c:pt idx="8">
                  <c:v>-1.2459999999999916</c:v>
                </c:pt>
                <c:pt idx="9">
                  <c:v>-1.9519999999999982</c:v>
                </c:pt>
                <c:pt idx="10">
                  <c:v>-2.6539999999999964</c:v>
                </c:pt>
                <c:pt idx="11">
                  <c:v>-2.7749999999999986</c:v>
                </c:pt>
                <c:pt idx="12">
                  <c:v>-2.7489999999999881</c:v>
                </c:pt>
                <c:pt idx="13">
                  <c:v>-3.0429999999999957</c:v>
                </c:pt>
                <c:pt idx="14">
                  <c:v>-2.7489999999999881</c:v>
                </c:pt>
                <c:pt idx="15">
                  <c:v>-2.8449999999999953</c:v>
                </c:pt>
                <c:pt idx="16">
                  <c:v>-2.7489999999999881</c:v>
                </c:pt>
                <c:pt idx="17">
                  <c:v>-0.25399999999999423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F-48A9-9B31-E5105E2C1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752368"/>
        <c:axId val="1847736048"/>
      </c:lineChart>
      <c:catAx>
        <c:axId val="18477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736048"/>
        <c:crosses val="autoZero"/>
        <c:auto val="1"/>
        <c:lblAlgn val="ctr"/>
        <c:lblOffset val="100"/>
        <c:tickMarkSkip val="1"/>
        <c:noMultiLvlLbl val="0"/>
      </c:catAx>
      <c:valAx>
        <c:axId val="1847736048"/>
        <c:scaling>
          <c:orientation val="minMax"/>
          <c:max val="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Deviasi Tegangan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7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0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Tingkat Pembebanan Penyulang Kondisi Eksisting</a:t>
            </a:r>
            <a:endParaRPr lang="en-ID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'Eksisting 2'!$B$9</c:f>
              <c:strCache>
                <c:ptCount val="1"/>
                <c:pt idx="0">
                  <c:v>KTN 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'Eksisting 2'!$C$8</c:f>
              <c:strCache>
                <c:ptCount val="1"/>
                <c:pt idx="0">
                  <c:v>Tingkat Pembebanan (%)</c:v>
                </c:pt>
              </c:strCache>
            </c:strRef>
          </c:cat>
          <c:val>
            <c:numRef>
              <c:f>'Eksisting 2'!$C$9</c:f>
              <c:numCache>
                <c:formatCode>0.00</c:formatCode>
                <c:ptCount val="1"/>
                <c:pt idx="0">
                  <c:v>7.0307692307692307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D-407F-B823-CCEB4E19E759}"/>
            </c:ext>
          </c:extLst>
        </c:ser>
        <c:ser>
          <c:idx val="1"/>
          <c:order val="1"/>
          <c:tx>
            <c:strRef>
              <c:f>'Eksisting 2'!$B$10</c:f>
              <c:strCache>
                <c:ptCount val="1"/>
                <c:pt idx="0">
                  <c:v>KTN 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'Eksisting 2'!$C$8</c:f>
              <c:strCache>
                <c:ptCount val="1"/>
                <c:pt idx="0">
                  <c:v>Tingkat Pembebanan (%)</c:v>
                </c:pt>
              </c:strCache>
            </c:strRef>
          </c:cat>
          <c:val>
            <c:numRef>
              <c:f>'Eksisting 2'!$C$10</c:f>
              <c:numCache>
                <c:formatCode>0.00</c:formatCode>
                <c:ptCount val="1"/>
                <c:pt idx="0">
                  <c:v>46.572649572649574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D-407F-B823-CCEB4E19E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1649104"/>
        <c:axId val="2041646224"/>
      </c:barChart>
      <c:catAx>
        <c:axId val="204164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46224"/>
        <c:crosses val="autoZero"/>
        <c:auto val="1"/>
        <c:lblAlgn val="ctr"/>
        <c:lblOffset val="100"/>
        <c:noMultiLvlLbl val="0"/>
      </c:catAx>
      <c:valAx>
        <c:axId val="20416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4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162486</xdr:colOff>
      <xdr:row>19</xdr:row>
      <xdr:rowOff>165566</xdr:rowOff>
    </xdr:from>
    <xdr:to>
      <xdr:col>15</xdr:col>
      <xdr:colOff>467285</xdr:colOff>
      <xdr:row>34</xdr:row>
      <xdr:rowOff>51266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645FF-3142-DA3F-84AB-FD59C7DE4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140072</xdr:colOff>
      <xdr:row>52</xdr:row>
      <xdr:rowOff>146797</xdr:rowOff>
    </xdr:from>
    <xdr:to>
      <xdr:col>13</xdr:col>
      <xdr:colOff>476249</xdr:colOff>
      <xdr:row>67</xdr:row>
      <xdr:rowOff>32497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6E40CF-A7B4-A2FA-A608-14AB5AB9D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302398</xdr:colOff>
      <xdr:row>26</xdr:row>
      <xdr:rowOff>9444</xdr:rowOff>
    </xdr:from>
    <xdr:ext cx="29264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40A9407-BE9D-4EF4-E127-43FE8DB371BE}"/>
                </a:ext>
              </a:extLst>
            </xdr:cNvPr>
            <xdr:cNvSpPr txBox="1"/>
          </xdr:nvSpPr>
          <xdr:spPr>
            <a:xfrm>
              <a:off x="2127356" y="5012070"/>
              <a:ext cx="2926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ID" sz="1100">
                      <a:latin typeface="Cambria Math" panose="02040503050406030204" pitchFamily="18" charset="0"/>
                    </a:rPr>
                    <m:t>Δ</m:t>
                  </m:r>
                </m:oMath>
              </a14:m>
              <a:r>
                <a:rPr lang="en-ID" sz="1100"/>
                <a:t>V %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40A9407-BE9D-4EF4-E127-43FE8DB371BE}"/>
                </a:ext>
              </a:extLst>
            </xdr:cNvPr>
            <xdr:cNvSpPr txBox="1"/>
          </xdr:nvSpPr>
          <xdr:spPr>
            <a:xfrm>
              <a:off x="2127356" y="5012070"/>
              <a:ext cx="2926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Δ</a:t>
              </a:r>
              <a:r>
                <a:rPr lang="en-ID" sz="1100"/>
                <a:t>V %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5</xdr:row>
      <xdr:rowOff>176212</xdr:rowOff>
    </xdr:from>
    <xdr:to>
      <xdr:col>8</xdr:col>
      <xdr:colOff>342900</xdr:colOff>
      <xdr:row>20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F4C3D-7D79-9A69-E04C-A90D38E52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6F12-E8F9-49BB-9D1E-D3AC4D65C348}">
  <dimension ref="B2:Q46"/>
  <sheetViews>
    <sheetView topLeftCell="A40" zoomScale="68" zoomScaleNormal="85" workbookViewId="0">
      <selection activeCell="H31" sqref="H31"/>
    </sheetView>
  </sheetViews>
  <sheetFormatPr defaultRowHeight="15" x14ac:dyDescent="0.25"/>
  <cols>
    <col min="4" max="4" width="12.28515625" customWidth="1"/>
    <col min="5" max="5" width="10.140625" customWidth="1"/>
  </cols>
  <sheetData>
    <row r="2" spans="2:17" ht="15.75" x14ac:dyDescent="0.25">
      <c r="B2" s="1" t="s">
        <v>0</v>
      </c>
    </row>
    <row r="4" spans="2:17" x14ac:dyDescent="0.25">
      <c r="B4" s="21" t="s">
        <v>1</v>
      </c>
      <c r="C4" s="22"/>
      <c r="D4" s="23" t="s">
        <v>2</v>
      </c>
      <c r="E4" s="24"/>
      <c r="F4" s="24"/>
      <c r="H4" s="25"/>
      <c r="I4" s="25"/>
      <c r="J4" s="6"/>
      <c r="K4" s="6"/>
      <c r="L4" s="6"/>
      <c r="M4" s="6"/>
      <c r="N4" s="6"/>
      <c r="O4" s="6"/>
      <c r="P4" s="6"/>
      <c r="Q4" s="7"/>
    </row>
    <row r="5" spans="2:17" x14ac:dyDescent="0.25">
      <c r="B5" s="7" t="s">
        <v>3</v>
      </c>
      <c r="C5" s="7" t="s">
        <v>4</v>
      </c>
      <c r="D5" s="7" t="s">
        <v>5</v>
      </c>
      <c r="E5" s="7" t="s">
        <v>25</v>
      </c>
      <c r="F5" s="7" t="s">
        <v>26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x14ac:dyDescent="0.25">
      <c r="B6" s="2" t="s">
        <v>6</v>
      </c>
      <c r="C6" s="3">
        <v>20</v>
      </c>
      <c r="D6" s="3">
        <v>100</v>
      </c>
      <c r="E6" s="4">
        <v>0</v>
      </c>
      <c r="F6" s="8">
        <f>(C6/100)*D6</f>
        <v>20</v>
      </c>
    </row>
    <row r="7" spans="2:17" x14ac:dyDescent="0.25">
      <c r="B7" s="2" t="s">
        <v>7</v>
      </c>
      <c r="C7" s="3">
        <v>20</v>
      </c>
      <c r="D7" s="5">
        <v>99.956999999999994</v>
      </c>
      <c r="E7" s="4">
        <v>0</v>
      </c>
      <c r="F7" s="8">
        <f>(C7/100)*D7</f>
        <v>19.991399999999999</v>
      </c>
    </row>
    <row r="8" spans="2:17" x14ac:dyDescent="0.25">
      <c r="B8" s="2" t="s">
        <v>8</v>
      </c>
      <c r="C8" s="3">
        <v>20</v>
      </c>
      <c r="D8" s="5">
        <v>99.852000000000004</v>
      </c>
      <c r="E8" s="4">
        <v>0</v>
      </c>
      <c r="F8" s="8">
        <f t="shared" ref="F8:F24" si="0">(C8/100)*D8</f>
        <v>19.970400000000001</v>
      </c>
    </row>
    <row r="9" spans="2:17" x14ac:dyDescent="0.25">
      <c r="B9" s="2" t="s">
        <v>9</v>
      </c>
      <c r="C9" s="3">
        <v>20</v>
      </c>
      <c r="D9" s="5">
        <v>99.745999999999995</v>
      </c>
      <c r="E9" s="4">
        <v>0</v>
      </c>
      <c r="F9" s="8">
        <f t="shared" si="0"/>
        <v>19.949200000000001</v>
      </c>
    </row>
    <row r="10" spans="2:17" x14ac:dyDescent="0.25">
      <c r="B10" s="2" t="s">
        <v>10</v>
      </c>
      <c r="C10" s="3">
        <v>20</v>
      </c>
      <c r="D10" s="5">
        <v>99.64</v>
      </c>
      <c r="E10" s="4">
        <v>0</v>
      </c>
      <c r="F10" s="8">
        <f t="shared" si="0"/>
        <v>19.928000000000001</v>
      </c>
    </row>
    <row r="11" spans="2:17" x14ac:dyDescent="0.25">
      <c r="B11" s="2" t="s">
        <v>11</v>
      </c>
      <c r="C11" s="3">
        <v>20</v>
      </c>
      <c r="D11" s="5">
        <v>99.745999999999995</v>
      </c>
      <c r="E11" s="4">
        <v>0</v>
      </c>
      <c r="F11" s="8">
        <f t="shared" si="0"/>
        <v>19.949200000000001</v>
      </c>
    </row>
    <row r="12" spans="2:17" x14ac:dyDescent="0.25">
      <c r="B12" s="2" t="s">
        <v>12</v>
      </c>
      <c r="C12" s="3">
        <v>20</v>
      </c>
      <c r="D12" s="5">
        <v>99.745999999999995</v>
      </c>
      <c r="E12" s="4">
        <v>0</v>
      </c>
      <c r="F12" s="8">
        <f t="shared" si="0"/>
        <v>19.949200000000001</v>
      </c>
    </row>
    <row r="13" spans="2:17" x14ac:dyDescent="0.25">
      <c r="B13" s="2" t="s">
        <v>13</v>
      </c>
      <c r="C13" s="3">
        <v>20</v>
      </c>
      <c r="D13" s="5">
        <v>99.745999999999995</v>
      </c>
      <c r="E13" s="4">
        <v>0</v>
      </c>
      <c r="F13" s="8">
        <f t="shared" si="0"/>
        <v>19.949200000000001</v>
      </c>
    </row>
    <row r="14" spans="2:17" x14ac:dyDescent="0.25">
      <c r="B14" s="2" t="s">
        <v>14</v>
      </c>
      <c r="C14" s="3">
        <v>20</v>
      </c>
      <c r="D14" s="5">
        <v>99.460999999999999</v>
      </c>
      <c r="E14" s="4">
        <v>-0.3</v>
      </c>
      <c r="F14" s="8">
        <f t="shared" si="0"/>
        <v>19.892200000000003</v>
      </c>
    </row>
    <row r="15" spans="2:17" x14ac:dyDescent="0.25">
      <c r="B15" s="2" t="s">
        <v>15</v>
      </c>
      <c r="C15" s="3">
        <v>20</v>
      </c>
      <c r="D15" s="5">
        <v>98.754000000000005</v>
      </c>
      <c r="E15" s="4">
        <v>-0.3</v>
      </c>
      <c r="F15" s="8">
        <f t="shared" si="0"/>
        <v>19.750800000000002</v>
      </c>
    </row>
    <row r="16" spans="2:17" x14ac:dyDescent="0.25">
      <c r="B16" s="2" t="s">
        <v>16</v>
      </c>
      <c r="C16" s="3">
        <v>20</v>
      </c>
      <c r="D16" s="5">
        <v>98.048000000000002</v>
      </c>
      <c r="E16" s="4">
        <v>-0.4</v>
      </c>
      <c r="F16" s="8">
        <f t="shared" si="0"/>
        <v>19.6096</v>
      </c>
    </row>
    <row r="17" spans="2:6" x14ac:dyDescent="0.25">
      <c r="B17" s="2" t="s">
        <v>17</v>
      </c>
      <c r="C17" s="3">
        <v>20</v>
      </c>
      <c r="D17" s="5">
        <v>97.346000000000004</v>
      </c>
      <c r="E17" s="4">
        <v>-0.4</v>
      </c>
      <c r="F17" s="8">
        <f t="shared" si="0"/>
        <v>19.469200000000001</v>
      </c>
    </row>
    <row r="18" spans="2:6" x14ac:dyDescent="0.25">
      <c r="B18" s="2" t="s">
        <v>18</v>
      </c>
      <c r="C18" s="3">
        <v>20</v>
      </c>
      <c r="D18" s="5">
        <v>97.224999999999994</v>
      </c>
      <c r="E18" s="4">
        <v>-0.4</v>
      </c>
      <c r="F18" s="8">
        <f t="shared" si="0"/>
        <v>19.445</v>
      </c>
    </row>
    <row r="19" spans="2:6" x14ac:dyDescent="0.25">
      <c r="B19" s="2" t="s">
        <v>19</v>
      </c>
      <c r="C19" s="3">
        <v>20</v>
      </c>
      <c r="D19" s="5">
        <v>97.251000000000005</v>
      </c>
      <c r="E19" s="4">
        <v>-0.4</v>
      </c>
      <c r="F19" s="8">
        <f t="shared" si="0"/>
        <v>19.450200000000002</v>
      </c>
    </row>
    <row r="20" spans="2:6" x14ac:dyDescent="0.25">
      <c r="B20" s="2" t="s">
        <v>20</v>
      </c>
      <c r="C20" s="3">
        <v>20</v>
      </c>
      <c r="D20" s="5">
        <v>96.956999999999994</v>
      </c>
      <c r="E20" s="4">
        <v>-0.4</v>
      </c>
      <c r="F20" s="8">
        <f t="shared" si="0"/>
        <v>19.391400000000001</v>
      </c>
    </row>
    <row r="21" spans="2:6" x14ac:dyDescent="0.25">
      <c r="B21" s="2" t="s">
        <v>21</v>
      </c>
      <c r="C21" s="3">
        <v>20</v>
      </c>
      <c r="D21" s="5">
        <v>97.251000000000005</v>
      </c>
      <c r="E21" s="4">
        <v>-0.4</v>
      </c>
      <c r="F21" s="8">
        <f t="shared" si="0"/>
        <v>19.450200000000002</v>
      </c>
    </row>
    <row r="22" spans="2:6" x14ac:dyDescent="0.25">
      <c r="B22" s="2" t="s">
        <v>22</v>
      </c>
      <c r="C22" s="3">
        <v>20</v>
      </c>
      <c r="D22" s="5">
        <v>97.155000000000001</v>
      </c>
      <c r="E22" s="4">
        <v>-0.4</v>
      </c>
      <c r="F22" s="8">
        <f t="shared" si="0"/>
        <v>19.431000000000001</v>
      </c>
    </row>
    <row r="23" spans="2:6" x14ac:dyDescent="0.25">
      <c r="B23" s="2" t="s">
        <v>23</v>
      </c>
      <c r="C23" s="3">
        <v>20</v>
      </c>
      <c r="D23" s="5">
        <v>97.251000000000005</v>
      </c>
      <c r="E23" s="4">
        <v>0</v>
      </c>
      <c r="F23" s="8">
        <f t="shared" si="0"/>
        <v>19.450200000000002</v>
      </c>
    </row>
    <row r="24" spans="2:6" x14ac:dyDescent="0.25">
      <c r="B24" s="2" t="s">
        <v>24</v>
      </c>
      <c r="C24" s="3">
        <v>20</v>
      </c>
      <c r="D24" s="5">
        <v>99.745999999999995</v>
      </c>
      <c r="E24" s="4">
        <v>-0.4</v>
      </c>
      <c r="F24" s="8">
        <f t="shared" si="0"/>
        <v>19.949200000000001</v>
      </c>
    </row>
    <row r="26" spans="2:6" x14ac:dyDescent="0.25">
      <c r="B26" t="s">
        <v>27</v>
      </c>
    </row>
    <row r="28" spans="2:6" x14ac:dyDescent="0.25">
      <c r="B28" s="7" t="s">
        <v>28</v>
      </c>
      <c r="C28" s="7" t="s">
        <v>29</v>
      </c>
      <c r="D28" s="12" t="s">
        <v>41</v>
      </c>
      <c r="E28" s="12" t="s">
        <v>36</v>
      </c>
    </row>
    <row r="29" spans="2:6" x14ac:dyDescent="0.25">
      <c r="B29" s="2" t="s">
        <v>7</v>
      </c>
      <c r="C29" s="8">
        <f>(C7/100)*D7</f>
        <v>19.991399999999999</v>
      </c>
      <c r="D29" s="2">
        <f>((C29-20)/20)*100</f>
        <v>-4.3000000000006366E-2</v>
      </c>
      <c r="E29" s="2" t="s">
        <v>40</v>
      </c>
    </row>
    <row r="30" spans="2:6" x14ac:dyDescent="0.25">
      <c r="B30" s="2" t="s">
        <v>8</v>
      </c>
      <c r="C30" s="8">
        <f t="shared" ref="C30:C46" si="1">(C8/100)*D8</f>
        <v>19.970400000000001</v>
      </c>
      <c r="D30" s="2">
        <f t="shared" ref="D30:D46" si="2">((C30-20)/20)*100</f>
        <v>-0.14799999999999258</v>
      </c>
      <c r="E30" s="2" t="s">
        <v>40</v>
      </c>
    </row>
    <row r="31" spans="2:6" x14ac:dyDescent="0.25">
      <c r="B31" s="2" t="s">
        <v>9</v>
      </c>
      <c r="C31" s="8">
        <f t="shared" si="1"/>
        <v>19.949200000000001</v>
      </c>
      <c r="D31" s="2">
        <f t="shared" si="2"/>
        <v>-0.25399999999999423</v>
      </c>
      <c r="E31" s="2" t="s">
        <v>40</v>
      </c>
    </row>
    <row r="32" spans="2:6" x14ac:dyDescent="0.25">
      <c r="B32" s="2" t="s">
        <v>10</v>
      </c>
      <c r="C32" s="8">
        <f t="shared" si="1"/>
        <v>19.928000000000001</v>
      </c>
      <c r="D32" s="8">
        <f t="shared" si="2"/>
        <v>-0.35999999999999588</v>
      </c>
      <c r="E32" s="2" t="s">
        <v>40</v>
      </c>
    </row>
    <row r="33" spans="2:5" x14ac:dyDescent="0.25">
      <c r="B33" s="2" t="s">
        <v>11</v>
      </c>
      <c r="C33" s="8">
        <f t="shared" si="1"/>
        <v>19.949200000000001</v>
      </c>
      <c r="D33" s="2">
        <f t="shared" si="2"/>
        <v>-0.25399999999999423</v>
      </c>
      <c r="E33" s="2" t="s">
        <v>40</v>
      </c>
    </row>
    <row r="34" spans="2:5" x14ac:dyDescent="0.25">
      <c r="B34" s="2" t="s">
        <v>12</v>
      </c>
      <c r="C34" s="8">
        <f t="shared" si="1"/>
        <v>19.949200000000001</v>
      </c>
      <c r="D34" s="2">
        <f t="shared" si="2"/>
        <v>-0.25399999999999423</v>
      </c>
      <c r="E34" s="2" t="s">
        <v>40</v>
      </c>
    </row>
    <row r="35" spans="2:5" x14ac:dyDescent="0.25">
      <c r="B35" s="2" t="s">
        <v>13</v>
      </c>
      <c r="C35" s="8">
        <f t="shared" si="1"/>
        <v>19.949200000000001</v>
      </c>
      <c r="D35" s="2">
        <f t="shared" si="2"/>
        <v>-0.25399999999999423</v>
      </c>
      <c r="E35" s="2" t="s">
        <v>40</v>
      </c>
    </row>
    <row r="36" spans="2:5" x14ac:dyDescent="0.25">
      <c r="B36" s="2" t="s">
        <v>14</v>
      </c>
      <c r="C36" s="8">
        <f t="shared" si="1"/>
        <v>19.892200000000003</v>
      </c>
      <c r="D36" s="2">
        <f t="shared" si="2"/>
        <v>-0.53899999999998727</v>
      </c>
      <c r="E36" s="2" t="s">
        <v>40</v>
      </c>
    </row>
    <row r="37" spans="2:5" x14ac:dyDescent="0.25">
      <c r="B37" s="2" t="s">
        <v>15</v>
      </c>
      <c r="C37" s="8">
        <f t="shared" si="1"/>
        <v>19.750800000000002</v>
      </c>
      <c r="D37" s="2">
        <f t="shared" si="2"/>
        <v>-1.2459999999999916</v>
      </c>
      <c r="E37" s="2" t="s">
        <v>40</v>
      </c>
    </row>
    <row r="38" spans="2:5" x14ac:dyDescent="0.25">
      <c r="B38" s="2" t="s">
        <v>16</v>
      </c>
      <c r="C38" s="8">
        <f t="shared" si="1"/>
        <v>19.6096</v>
      </c>
      <c r="D38" s="2">
        <f t="shared" si="2"/>
        <v>-1.9519999999999982</v>
      </c>
      <c r="E38" s="2" t="s">
        <v>40</v>
      </c>
    </row>
    <row r="39" spans="2:5" x14ac:dyDescent="0.25">
      <c r="B39" s="2" t="s">
        <v>17</v>
      </c>
      <c r="C39" s="8">
        <f t="shared" si="1"/>
        <v>19.469200000000001</v>
      </c>
      <c r="D39" s="2">
        <f t="shared" si="2"/>
        <v>-2.6539999999999964</v>
      </c>
      <c r="E39" s="2" t="s">
        <v>40</v>
      </c>
    </row>
    <row r="40" spans="2:5" x14ac:dyDescent="0.25">
      <c r="B40" s="2" t="s">
        <v>18</v>
      </c>
      <c r="C40" s="8">
        <f t="shared" si="1"/>
        <v>19.445</v>
      </c>
      <c r="D40" s="2">
        <f t="shared" si="2"/>
        <v>-2.7749999999999986</v>
      </c>
      <c r="E40" s="2" t="s">
        <v>40</v>
      </c>
    </row>
    <row r="41" spans="2:5" x14ac:dyDescent="0.25">
      <c r="B41" s="2" t="s">
        <v>19</v>
      </c>
      <c r="C41" s="8">
        <f t="shared" si="1"/>
        <v>19.450200000000002</v>
      </c>
      <c r="D41" s="2">
        <f t="shared" si="2"/>
        <v>-2.7489999999999881</v>
      </c>
      <c r="E41" s="2" t="s">
        <v>40</v>
      </c>
    </row>
    <row r="42" spans="2:5" x14ac:dyDescent="0.25">
      <c r="B42" s="2" t="s">
        <v>20</v>
      </c>
      <c r="C42" s="8">
        <f t="shared" si="1"/>
        <v>19.391400000000001</v>
      </c>
      <c r="D42" s="2">
        <f>((C42-20)/20)*100</f>
        <v>-3.0429999999999957</v>
      </c>
      <c r="E42" s="2" t="s">
        <v>40</v>
      </c>
    </row>
    <row r="43" spans="2:5" x14ac:dyDescent="0.25">
      <c r="B43" s="2" t="s">
        <v>21</v>
      </c>
      <c r="C43" s="8">
        <f t="shared" si="1"/>
        <v>19.450200000000002</v>
      </c>
      <c r="D43" s="2">
        <f t="shared" si="2"/>
        <v>-2.7489999999999881</v>
      </c>
      <c r="E43" s="2" t="s">
        <v>40</v>
      </c>
    </row>
    <row r="44" spans="2:5" x14ac:dyDescent="0.25">
      <c r="B44" s="2" t="s">
        <v>22</v>
      </c>
      <c r="C44" s="8">
        <f t="shared" si="1"/>
        <v>19.431000000000001</v>
      </c>
      <c r="D44" s="2">
        <f t="shared" si="2"/>
        <v>-2.8449999999999953</v>
      </c>
      <c r="E44" s="2" t="s">
        <v>40</v>
      </c>
    </row>
    <row r="45" spans="2:5" x14ac:dyDescent="0.25">
      <c r="B45" s="2" t="s">
        <v>23</v>
      </c>
      <c r="C45" s="8">
        <f t="shared" si="1"/>
        <v>19.450200000000002</v>
      </c>
      <c r="D45" s="2">
        <f t="shared" si="2"/>
        <v>-2.7489999999999881</v>
      </c>
      <c r="E45" s="2" t="s">
        <v>40</v>
      </c>
    </row>
    <row r="46" spans="2:5" x14ac:dyDescent="0.25">
      <c r="B46" s="2" t="s">
        <v>24</v>
      </c>
      <c r="C46" s="8">
        <f t="shared" si="1"/>
        <v>19.949200000000001</v>
      </c>
      <c r="D46" s="2">
        <f t="shared" si="2"/>
        <v>-0.25399999999999423</v>
      </c>
      <c r="E46" s="2" t="s">
        <v>40</v>
      </c>
    </row>
  </sheetData>
  <mergeCells count="3">
    <mergeCell ref="B4:C4"/>
    <mergeCell ref="D4:F4"/>
    <mergeCell ref="H4:I4"/>
  </mergeCells>
  <phoneticPr fontId="2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89AB-D8DB-45DA-9FCB-735EC5ABC5B8}">
  <dimension ref="B2:G41"/>
  <sheetViews>
    <sheetView tabSelected="1" workbookViewId="0">
      <selection activeCell="I5" sqref="I5"/>
    </sheetView>
  </sheetViews>
  <sheetFormatPr defaultRowHeight="15" x14ac:dyDescent="0.25"/>
  <cols>
    <col min="2" max="2" width="11.85546875" customWidth="1"/>
    <col min="3" max="3" width="18.28515625" customWidth="1"/>
    <col min="4" max="4" width="15.42578125" customWidth="1"/>
    <col min="5" max="5" width="10.42578125" customWidth="1"/>
    <col min="6" max="6" width="22.5703125" customWidth="1"/>
    <col min="7" max="7" width="11.7109375" customWidth="1"/>
  </cols>
  <sheetData>
    <row r="2" spans="2:7" x14ac:dyDescent="0.25">
      <c r="B2" s="9" t="s">
        <v>30</v>
      </c>
    </row>
    <row r="3" spans="2:7" ht="15.75" x14ac:dyDescent="0.25"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</row>
    <row r="4" spans="2:7" ht="15.75" x14ac:dyDescent="0.25">
      <c r="B4" s="10" t="s">
        <v>37</v>
      </c>
      <c r="C4" s="10" t="s">
        <v>39</v>
      </c>
      <c r="D4" s="10">
        <v>41.13</v>
      </c>
      <c r="E4" s="10">
        <v>585</v>
      </c>
      <c r="F4" s="13">
        <f>D4/E4*100</f>
        <v>7.0307692307692307</v>
      </c>
      <c r="G4" s="10" t="s">
        <v>40</v>
      </c>
    </row>
    <row r="5" spans="2:7" ht="15.75" x14ac:dyDescent="0.25">
      <c r="B5" s="10" t="s">
        <v>38</v>
      </c>
      <c r="C5" s="10" t="s">
        <v>42</v>
      </c>
      <c r="D5" s="10">
        <v>272.45</v>
      </c>
      <c r="E5" s="10">
        <v>585</v>
      </c>
      <c r="F5" s="13">
        <f>D5/E5*100</f>
        <v>46.572649572649574</v>
      </c>
      <c r="G5" s="10" t="s">
        <v>40</v>
      </c>
    </row>
    <row r="8" spans="2:7" ht="15.75" x14ac:dyDescent="0.25">
      <c r="B8" s="11" t="s">
        <v>31</v>
      </c>
      <c r="C8" s="11" t="s">
        <v>35</v>
      </c>
    </row>
    <row r="9" spans="2:7" ht="15.75" x14ac:dyDescent="0.25">
      <c r="B9" s="10" t="s">
        <v>37</v>
      </c>
      <c r="C9" s="13">
        <f>F4</f>
        <v>7.0307692307692307</v>
      </c>
    </row>
    <row r="10" spans="2:7" ht="15.75" x14ac:dyDescent="0.25">
      <c r="B10" s="10" t="s">
        <v>38</v>
      </c>
      <c r="C10" s="13">
        <f>F5</f>
        <v>46.572649572649574</v>
      </c>
    </row>
    <row r="21" spans="2:7" ht="15.75" thickBot="1" x14ac:dyDescent="0.3"/>
    <row r="22" spans="2:7" ht="32.25" thickBot="1" x14ac:dyDescent="0.3">
      <c r="B22" s="14" t="s">
        <v>43</v>
      </c>
      <c r="C22" s="15" t="s">
        <v>44</v>
      </c>
      <c r="D22" s="15" t="s">
        <v>45</v>
      </c>
      <c r="E22" s="15" t="s">
        <v>46</v>
      </c>
      <c r="F22" s="15" t="s">
        <v>47</v>
      </c>
      <c r="G22" s="15" t="s">
        <v>48</v>
      </c>
    </row>
    <row r="23" spans="2:7" ht="48" thickBot="1" x14ac:dyDescent="0.3">
      <c r="B23" s="16">
        <v>1</v>
      </c>
      <c r="C23" s="17" t="s">
        <v>49</v>
      </c>
      <c r="D23" s="18" t="s">
        <v>50</v>
      </c>
      <c r="E23" s="18">
        <v>0.7</v>
      </c>
      <c r="F23" s="18">
        <v>1.8</v>
      </c>
      <c r="G23" s="19" t="s">
        <v>51</v>
      </c>
    </row>
    <row r="24" spans="2:7" ht="48" thickBot="1" x14ac:dyDescent="0.3">
      <c r="B24" s="16">
        <v>2</v>
      </c>
      <c r="C24" s="17" t="s">
        <v>52</v>
      </c>
      <c r="D24" s="18" t="s">
        <v>53</v>
      </c>
      <c r="E24" s="18">
        <v>0.7</v>
      </c>
      <c r="F24" s="18">
        <v>1.8</v>
      </c>
      <c r="G24" s="19" t="s">
        <v>51</v>
      </c>
    </row>
    <row r="25" spans="2:7" ht="48" thickBot="1" x14ac:dyDescent="0.3">
      <c r="B25" s="16">
        <v>3</v>
      </c>
      <c r="C25" s="17" t="s">
        <v>54</v>
      </c>
      <c r="D25" s="18" t="s">
        <v>55</v>
      </c>
      <c r="E25" s="18">
        <v>0.7</v>
      </c>
      <c r="F25" s="18">
        <v>1.8</v>
      </c>
      <c r="G25" s="19" t="s">
        <v>56</v>
      </c>
    </row>
    <row r="26" spans="2:7" ht="48" thickBot="1" x14ac:dyDescent="0.3">
      <c r="B26" s="16">
        <v>4</v>
      </c>
      <c r="C26" s="17" t="s">
        <v>57</v>
      </c>
      <c r="D26" s="18" t="s">
        <v>58</v>
      </c>
      <c r="E26" s="18">
        <v>0</v>
      </c>
      <c r="F26" s="18">
        <v>0</v>
      </c>
      <c r="G26" s="19" t="s">
        <v>59</v>
      </c>
    </row>
    <row r="27" spans="2:7" ht="48" thickBot="1" x14ac:dyDescent="0.3">
      <c r="B27" s="16">
        <v>5</v>
      </c>
      <c r="C27" s="17" t="s">
        <v>60</v>
      </c>
      <c r="D27" s="18" t="s">
        <v>61</v>
      </c>
      <c r="E27" s="18">
        <v>0</v>
      </c>
      <c r="F27" s="18">
        <v>0</v>
      </c>
      <c r="G27" s="19" t="s">
        <v>59</v>
      </c>
    </row>
    <row r="28" spans="2:7" ht="32.25" thickBot="1" x14ac:dyDescent="0.3">
      <c r="B28" s="16">
        <v>6</v>
      </c>
      <c r="C28" s="17" t="s">
        <v>62</v>
      </c>
      <c r="D28" s="18" t="s">
        <v>63</v>
      </c>
      <c r="E28" s="18">
        <v>0</v>
      </c>
      <c r="F28" s="18">
        <v>0</v>
      </c>
      <c r="G28" s="19" t="s">
        <v>64</v>
      </c>
    </row>
    <row r="29" spans="2:7" ht="32.25" thickBot="1" x14ac:dyDescent="0.3">
      <c r="B29" s="16">
        <v>7</v>
      </c>
      <c r="C29" s="17" t="s">
        <v>65</v>
      </c>
      <c r="D29" s="18" t="s">
        <v>66</v>
      </c>
      <c r="E29" s="18">
        <v>0</v>
      </c>
      <c r="F29" s="18">
        <v>0</v>
      </c>
      <c r="G29" s="19" t="s">
        <v>64</v>
      </c>
    </row>
    <row r="30" spans="2:7" ht="48" thickBot="1" x14ac:dyDescent="0.3">
      <c r="B30" s="16">
        <v>8</v>
      </c>
      <c r="C30" s="17" t="s">
        <v>67</v>
      </c>
      <c r="D30" s="18" t="s">
        <v>68</v>
      </c>
      <c r="E30" s="18">
        <v>29.9</v>
      </c>
      <c r="F30" s="18">
        <v>77.099999999999994</v>
      </c>
      <c r="G30" s="19" t="s">
        <v>69</v>
      </c>
    </row>
    <row r="31" spans="2:7" ht="48" thickBot="1" x14ac:dyDescent="0.3">
      <c r="B31" s="16">
        <v>9</v>
      </c>
      <c r="C31" s="17" t="s">
        <v>70</v>
      </c>
      <c r="D31" s="18" t="s">
        <v>71</v>
      </c>
      <c r="E31" s="18">
        <v>29.9</v>
      </c>
      <c r="F31" s="18">
        <v>77.099999999999994</v>
      </c>
      <c r="G31" s="19" t="s">
        <v>69</v>
      </c>
    </row>
    <row r="32" spans="2:7" ht="48" thickBot="1" x14ac:dyDescent="0.3">
      <c r="B32" s="16">
        <v>10</v>
      </c>
      <c r="C32" s="17" t="s">
        <v>72</v>
      </c>
      <c r="D32" s="18" t="s">
        <v>73</v>
      </c>
      <c r="E32" s="18">
        <v>29.9</v>
      </c>
      <c r="F32" s="18">
        <v>77.099999999999994</v>
      </c>
      <c r="G32" s="19" t="s">
        <v>69</v>
      </c>
    </row>
    <row r="33" spans="2:7" ht="48" thickBot="1" x14ac:dyDescent="0.3">
      <c r="B33" s="16">
        <v>11</v>
      </c>
      <c r="C33" s="17" t="s">
        <v>74</v>
      </c>
      <c r="D33" s="18" t="s">
        <v>75</v>
      </c>
      <c r="E33" s="18">
        <v>0.9</v>
      </c>
      <c r="F33" s="18">
        <v>2.2999999999999998</v>
      </c>
      <c r="G33" s="19" t="s">
        <v>76</v>
      </c>
    </row>
    <row r="34" spans="2:7" ht="63.75" thickBot="1" x14ac:dyDescent="0.3">
      <c r="B34" s="16">
        <v>12</v>
      </c>
      <c r="C34" s="17" t="s">
        <v>77</v>
      </c>
      <c r="D34" s="18" t="s">
        <v>78</v>
      </c>
      <c r="E34" s="18">
        <v>0.5</v>
      </c>
      <c r="F34" s="18">
        <v>1.4</v>
      </c>
      <c r="G34" s="19" t="s">
        <v>79</v>
      </c>
    </row>
    <row r="35" spans="2:7" ht="48" thickBot="1" x14ac:dyDescent="0.3">
      <c r="B35" s="16">
        <v>13</v>
      </c>
      <c r="C35" s="17" t="s">
        <v>80</v>
      </c>
      <c r="D35" s="18" t="s">
        <v>81</v>
      </c>
      <c r="E35" s="18">
        <v>0.6</v>
      </c>
      <c r="F35" s="18">
        <v>1.4</v>
      </c>
      <c r="G35" s="19" t="s">
        <v>82</v>
      </c>
    </row>
    <row r="36" spans="2:7" ht="48" thickBot="1" x14ac:dyDescent="0.3">
      <c r="B36" s="16">
        <v>14</v>
      </c>
      <c r="C36" s="17" t="s">
        <v>83</v>
      </c>
      <c r="D36" s="18" t="s">
        <v>84</v>
      </c>
      <c r="E36" s="18">
        <v>9.1999999999999993</v>
      </c>
      <c r="F36" s="18">
        <v>23.8</v>
      </c>
      <c r="G36" s="19" t="s">
        <v>85</v>
      </c>
    </row>
    <row r="37" spans="2:7" ht="48" thickBot="1" x14ac:dyDescent="0.3">
      <c r="B37" s="16">
        <v>15</v>
      </c>
      <c r="C37" s="17" t="s">
        <v>86</v>
      </c>
      <c r="D37" s="18" t="s">
        <v>87</v>
      </c>
      <c r="E37" s="18">
        <v>0.6</v>
      </c>
      <c r="F37" s="18">
        <v>1.4</v>
      </c>
      <c r="G37" s="19" t="s">
        <v>82</v>
      </c>
    </row>
    <row r="38" spans="2:7" ht="48" thickBot="1" x14ac:dyDescent="0.3">
      <c r="B38" s="16">
        <v>16</v>
      </c>
      <c r="C38" s="17" t="s">
        <v>88</v>
      </c>
      <c r="D38" s="18" t="s">
        <v>89</v>
      </c>
      <c r="E38" s="18">
        <v>0</v>
      </c>
      <c r="F38" s="18">
        <v>0</v>
      </c>
      <c r="G38" s="19" t="s">
        <v>82</v>
      </c>
    </row>
    <row r="39" spans="2:7" ht="48" thickBot="1" x14ac:dyDescent="0.3">
      <c r="B39" s="16">
        <v>17</v>
      </c>
      <c r="C39" s="18" t="s">
        <v>90</v>
      </c>
      <c r="D39" s="18" t="s">
        <v>91</v>
      </c>
      <c r="E39" s="18">
        <v>0.2</v>
      </c>
      <c r="F39" s="18">
        <v>0.9</v>
      </c>
      <c r="G39" s="19" t="s">
        <v>92</v>
      </c>
    </row>
    <row r="40" spans="2:7" ht="48" thickBot="1" x14ac:dyDescent="0.3">
      <c r="B40" s="16">
        <v>18</v>
      </c>
      <c r="C40" s="18" t="s">
        <v>93</v>
      </c>
      <c r="D40" s="18" t="s">
        <v>94</v>
      </c>
      <c r="E40" s="18">
        <v>12.7</v>
      </c>
      <c r="F40" s="18">
        <v>73.7</v>
      </c>
      <c r="G40" s="19" t="s">
        <v>95</v>
      </c>
    </row>
    <row r="41" spans="2:7" ht="32.25" thickBot="1" x14ac:dyDescent="0.3">
      <c r="B41" s="20"/>
      <c r="C41" s="18" t="s">
        <v>96</v>
      </c>
      <c r="D41" s="18" t="s">
        <v>97</v>
      </c>
      <c r="E41" s="18">
        <v>116.5</v>
      </c>
      <c r="F41" s="18">
        <v>341.5</v>
      </c>
      <c r="G41" s="19" t="s">
        <v>98</v>
      </c>
    </row>
  </sheetData>
  <phoneticPr fontId="2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Eksisting</vt:lpstr>
      <vt:lpstr>Eksisting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Haryo Alauddin</dc:creator>
  <cp:lastModifiedBy>Muhammad Haryo Alauddin Ahnaf</cp:lastModifiedBy>
  <dcterms:created xsi:type="dcterms:W3CDTF">2026-06-26T20:49:55Z</dcterms:created>
  <dcterms:modified xsi:type="dcterms:W3CDTF">2026-07-17T17:55:04Z</dcterms:modified>
</cp:coreProperties>
</file>