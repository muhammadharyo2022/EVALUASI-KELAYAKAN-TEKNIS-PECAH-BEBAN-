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KULIAH\SKRIPSI\Lampiran Skripsi\"/>
    </mc:Choice>
  </mc:AlternateContent>
  <xr:revisionPtr revIDLastSave="0" documentId="13_ncr:1_{402421A3-E612-4DDE-81AA-2B5E4DE9434C}" xr6:coauthVersionLast="47" xr6:coauthVersionMax="47" xr10:uidLastSave="{00000000-0000-0000-0000-000000000000}"/>
  <bookViews>
    <workbookView xWindow="2730" yWindow="2730" windowWidth="14190" windowHeight="11295" xr2:uid="{261B9DEB-9B6A-4A0D-BE61-6CDB2B88F1C8}"/>
  </bookViews>
  <sheets>
    <sheet name="Perbandingan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15" i="5" l="1"/>
  <c r="E14" i="5"/>
</calcChain>
</file>

<file path=xl/sharedStrings.xml><?xml version="1.0" encoding="utf-8"?>
<sst xmlns="http://schemas.openxmlformats.org/spreadsheetml/2006/main" count="22" uniqueCount="20">
  <si>
    <t>Penyulang</t>
  </si>
  <si>
    <t>KTN 05</t>
  </si>
  <si>
    <t>KTN 06</t>
  </si>
  <si>
    <t>Parameter</t>
  </si>
  <si>
    <t>Eksisting</t>
  </si>
  <si>
    <t>Setelah Pecah Beban</t>
  </si>
  <si>
    <t>Perubahan</t>
  </si>
  <si>
    <t>Tegangan maksimum (kV)</t>
  </si>
  <si>
    <t>Tegangan minimum (kV)</t>
  </si>
  <si>
    <t>Deviasi maksimum (%)</t>
  </si>
  <si>
    <t>Deviasi minimum (%)</t>
  </si>
  <si>
    <t>Kondisi Eksisting (%)</t>
  </si>
  <si>
    <t>Setelah Pecah Beban (%)</t>
  </si>
  <si>
    <t>Perubahan dan Selisih (%)</t>
  </si>
  <si>
    <t>Kondisi Eksisting</t>
  </si>
  <si>
    <t>Rugi-rugi Daya Aktif (kW)</t>
  </si>
  <si>
    <t>Rugi-rugi Daya Reaktif (kVAr)</t>
  </si>
  <si>
    <t>−2,689</t>
  </si>
  <si>
    <t>−0,007</t>
  </si>
  <si>
    <t>−0,039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</si>
</sst>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0"/>
  </numFmts>
  <fonts count="3" x14ac:knownFonts="1">
    <font>
      <sz val="11"/>
      <color theme="1"/>
      <name val="Aptos Narrow"/>
      <family val="2"/>
      <charset val="1"/>
      <scheme val="minor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70AD47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66" fontId="1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 sz="1400" b="0" i="0" u="none" strike="noStrike" baseline="0"/>
              <a:t>PECAH BEBAN PENYULANG KTN 05 &amp; KTN 06 </a:t>
            </a:r>
            <a:endParaRPr lang="en-ID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D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Perbandingan!$B$14</c:f>
              <c:strCache>
                <c:ptCount val="1"/>
                <c:pt idx="0">
                  <c:v>KTN 05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Perbandingan!$C$13:$D$13</c:f>
              <c:strCache>
                <c:ptCount val="2"/>
                <c:pt idx="0">
                  <c:v>Kondisi Eksisting (%)</c:v>
                </c:pt>
                <c:pt idx="1">
                  <c:v>Setelah Pecah Beban (%)</c:v>
                </c:pt>
              </c:strCache>
            </c:strRef>
          </c:cat>
          <c:val>
            <c:numRef>
              <c:f>Perbandingan!$C$14:$D$14</c:f>
              <c:numCache>
                <c:formatCode>General</c:formatCode>
                <c:ptCount val="2"/>
                <c:pt idx="0">
                  <c:v>7.03</c:v>
                </c:pt>
                <c:pt idx="1">
                  <c:v>13.48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19-4202-96AF-67BE7F940220}"/>
            </c:ext>
          </c:extLst>
        </c:ser>
        <c:ser>
          <c:idx val="1"/>
          <c:order val="1"/>
          <c:tx>
            <c:strRef>
              <c:f>Perbandingan!$B$15</c:f>
              <c:strCache>
                <c:ptCount val="1"/>
                <c:pt idx="0">
                  <c:v>KTN 06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Perbandingan!$C$13:$D$13</c:f>
              <c:strCache>
                <c:ptCount val="2"/>
                <c:pt idx="0">
                  <c:v>Kondisi Eksisting (%)</c:v>
                </c:pt>
                <c:pt idx="1">
                  <c:v>Setelah Pecah Beban (%)</c:v>
                </c:pt>
              </c:strCache>
            </c:strRef>
          </c:cat>
          <c:val>
            <c:numRef>
              <c:f>Perbandingan!$C$15:$D$15</c:f>
              <c:numCache>
                <c:formatCode>General</c:formatCode>
                <c:ptCount val="2"/>
                <c:pt idx="0">
                  <c:v>46.57</c:v>
                </c:pt>
                <c:pt idx="1">
                  <c:v>40.369999999999997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019-4202-96AF-67BE7F94022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314499984"/>
        <c:axId val="1314498064"/>
      </c:barChart>
      <c:catAx>
        <c:axId val="1314499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4498064"/>
        <c:crosses val="autoZero"/>
        <c:auto val="1"/>
        <c:lblAlgn val="ctr"/>
        <c:lblOffset val="100"/>
        <c:noMultiLvlLbl val="0"/>
      </c:catAx>
      <c:valAx>
        <c:axId val="1314498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4499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Perbandingan!$B$38</c:f>
              <c:strCache>
                <c:ptCount val="1"/>
                <c:pt idx="0">
                  <c:v>Rugi-rugi Daya Aktif (kW)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Perbandingan!$C$37:$D$37</c:f>
              <c:strCache>
                <c:ptCount val="2"/>
                <c:pt idx="0">
                  <c:v>Kondisi Eksisting</c:v>
                </c:pt>
                <c:pt idx="1">
                  <c:v>Setelah Pecah Beban</c:v>
                </c:pt>
              </c:strCache>
            </c:strRef>
          </c:cat>
          <c:val>
            <c:numRef>
              <c:f>Perbandingan!$C$38:$D$38</c:f>
              <c:numCache>
                <c:formatCode>General</c:formatCode>
                <c:ptCount val="2"/>
                <c:pt idx="0">
                  <c:v>116.5</c:v>
                </c:pt>
                <c:pt idx="1">
                  <c:v>97.5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4C-49A6-BBC2-6ADFA4E9C8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94857456"/>
        <c:axId val="1094878096"/>
      </c:barChart>
      <c:catAx>
        <c:axId val="10948574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4878096"/>
        <c:crosses val="autoZero"/>
        <c:auto val="1"/>
        <c:lblAlgn val="ctr"/>
        <c:lblOffset val="100"/>
        <c:noMultiLvlLbl val="0"/>
      </c:catAx>
      <c:valAx>
        <c:axId val="1094878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4857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Perbandingan!$B$39</c:f>
              <c:strCache>
                <c:ptCount val="1"/>
                <c:pt idx="0">
                  <c:v>Rugi-rugi Daya Reaktif (kVAr)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Perbandingan!$C$37:$D$37</c:f>
              <c:strCache>
                <c:ptCount val="2"/>
                <c:pt idx="0">
                  <c:v>Kondisi Eksisting</c:v>
                </c:pt>
                <c:pt idx="1">
                  <c:v>Setelah Pecah Beban</c:v>
                </c:pt>
              </c:strCache>
            </c:strRef>
          </c:cat>
          <c:val>
            <c:numRef>
              <c:f>Perbandingan!$C$39:$D$39</c:f>
              <c:numCache>
                <c:formatCode>General</c:formatCode>
                <c:ptCount val="2"/>
                <c:pt idx="0">
                  <c:v>341.5</c:v>
                </c:pt>
                <c:pt idx="1">
                  <c:v>283.8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A1-46D7-922E-213C63C88AF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382840336"/>
        <c:axId val="1382838416"/>
      </c:barChart>
      <c:catAx>
        <c:axId val="13828403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2838416"/>
        <c:crosses val="autoZero"/>
        <c:auto val="1"/>
        <c:lblAlgn val="ctr"/>
        <c:lblOffset val="100"/>
        <c:noMultiLvlLbl val="0"/>
      </c:catAx>
      <c:valAx>
        <c:axId val="1382838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28403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85725</xdr:colOff>
      <xdr:row>17</xdr:row>
      <xdr:rowOff>52387</xdr:rowOff>
    </xdr:from>
    <xdr:to>
      <xdr:col>7</xdr:col>
      <xdr:colOff>200025</xdr:colOff>
      <xdr:row>31</xdr:row>
      <xdr:rowOff>128587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3B58F12-48E4-B65A-02EA-2D7C5E78D2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494180</xdr:colOff>
      <xdr:row>40</xdr:row>
      <xdr:rowOff>126346</xdr:rowOff>
    </xdr:from>
    <xdr:to>
      <xdr:col>5</xdr:col>
      <xdr:colOff>3362</xdr:colOff>
      <xdr:row>55</xdr:row>
      <xdr:rowOff>12046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073F781-90EA-DED3-3789-6DEB920A08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128867</xdr:colOff>
      <xdr:row>40</xdr:row>
      <xdr:rowOff>137552</xdr:rowOff>
    </xdr:from>
    <xdr:to>
      <xdr:col>12</xdr:col>
      <xdr:colOff>456079</xdr:colOff>
      <xdr:row>55</xdr:row>
      <xdr:rowOff>33338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B6E5A12-920C-0CED-61DF-E9602C9840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B8A5C-49D5-47A6-A925-280F62358C75}">
  <dimension ref="B3:E39"/>
  <sheetViews>
    <sheetView tabSelected="1" zoomScale="85" zoomScaleNormal="85" workbookViewId="0">
      <selection activeCell="I7" sqref="I7"/>
    </sheetView>
  </sheetViews>
  <sheetFormatPr defaultRowHeight="15" x14ac:dyDescent="0.25"/>
  <cols>
    <col min="2" max="2" width="18.140625" customWidth="1"/>
    <col min="3" max="3" width="14.140625" customWidth="1"/>
    <col min="4" max="4" width="19" customWidth="1"/>
    <col min="5" max="5" width="15.42578125" customWidth="1"/>
  </cols>
  <sheetData>
    <row r="3" spans="2:5" ht="31.5" x14ac:dyDescent="0.25">
      <c r="B3" s="2" t="s">
        <v>3</v>
      </c>
      <c r="C3" s="2" t="s">
        <v>4</v>
      </c>
      <c r="D3" s="2" t="s">
        <v>5</v>
      </c>
      <c r="E3" s="2" t="s">
        <v>6</v>
      </c>
    </row>
    <row r="4" spans="2:5" ht="31.5" x14ac:dyDescent="0.25">
      <c r="B4" s="3" t="s">
        <v>7</v>
      </c>
      <c r="C4" s="3">
        <v>19.991</v>
      </c>
      <c r="D4" s="3">
        <v>19.984000000000002</v>
      </c>
      <c r="E4" s="1" t="s">
        <v>18</v>
      </c>
    </row>
    <row r="5" spans="2:5" ht="31.5" x14ac:dyDescent="0.25">
      <c r="B5" s="3" t="s">
        <v>8</v>
      </c>
      <c r="C5" s="3">
        <v>19.390999999999998</v>
      </c>
      <c r="D5" s="3">
        <v>19.462</v>
      </c>
      <c r="E5" s="1">
        <v>7.0999999999999994E-2</v>
      </c>
    </row>
    <row r="6" spans="2:5" ht="31.5" x14ac:dyDescent="0.25">
      <c r="B6" s="3" t="s">
        <v>9</v>
      </c>
      <c r="C6" s="3">
        <v>-3.0430000000000001</v>
      </c>
      <c r="D6" s="3" t="s">
        <v>17</v>
      </c>
      <c r="E6" s="1">
        <v>0.35399999999999998</v>
      </c>
    </row>
    <row r="7" spans="2:5" ht="31.5" x14ac:dyDescent="0.25">
      <c r="B7" s="3" t="s">
        <v>10</v>
      </c>
      <c r="C7" s="3">
        <v>-4.2999999999999997E-2</v>
      </c>
      <c r="D7" s="1">
        <v>-8.2000000000000003E-2</v>
      </c>
      <c r="E7" s="1" t="s">
        <v>19</v>
      </c>
    </row>
    <row r="13" spans="2:5" ht="31.5" x14ac:dyDescent="0.25">
      <c r="B13" s="2" t="s">
        <v>0</v>
      </c>
      <c r="C13" s="2" t="s">
        <v>11</v>
      </c>
      <c r="D13" s="2" t="s">
        <v>12</v>
      </c>
      <c r="E13" s="2" t="s">
        <v>13</v>
      </c>
    </row>
    <row r="14" spans="2:5" ht="15.75" x14ac:dyDescent="0.25">
      <c r="B14" s="3" t="s">
        <v>1</v>
      </c>
      <c r="C14" s="3">
        <v>7.03</v>
      </c>
      <c r="D14" s="3">
        <v>13.48</v>
      </c>
      <c r="E14" s="4">
        <f>D14-C14</f>
        <v>6.45</v>
      </c>
    </row>
    <row r="15" spans="2:5" ht="15.75" x14ac:dyDescent="0.25">
      <c r="B15" s="3" t="s">
        <v>2</v>
      </c>
      <c r="C15" s="3">
        <v>46.57</v>
      </c>
      <c r="D15" s="3">
        <v>40.369999999999997</v>
      </c>
      <c r="E15" s="4">
        <f>D15-C15</f>
        <v>-6.2000000000000028</v>
      </c>
    </row>
    <row r="37" spans="2:4" ht="31.5" x14ac:dyDescent="0.25">
      <c r="B37" s="2" t="s">
        <v>3</v>
      </c>
      <c r="C37" s="2" t="s">
        <v>14</v>
      </c>
      <c r="D37" s="2" t="s">
        <v>5</v>
      </c>
    </row>
    <row r="38" spans="2:4" ht="31.5" x14ac:dyDescent="0.25">
      <c r="B38" s="3" t="s">
        <v>15</v>
      </c>
      <c r="C38" s="3">
        <v>116.5</v>
      </c>
      <c r="D38" s="3">
        <v>97.5</v>
      </c>
    </row>
    <row r="39" spans="2:4" ht="31.5" x14ac:dyDescent="0.25">
      <c r="B39" s="3" t="s">
        <v>16</v>
      </c>
      <c r="C39" s="3">
        <v>341.5</v>
      </c>
      <c r="D39" s="3">
        <v>283.8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Perbandingan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Haryo Alauddin</dc:creator>
  <cp:lastModifiedBy>Muhammad Haryo Alauddin Ahnaf</cp:lastModifiedBy>
  <dcterms:created xsi:type="dcterms:W3CDTF">2026-06-26T20:49:55Z</dcterms:created>
  <dcterms:modified xsi:type="dcterms:W3CDTF">2026-07-17T17:53:55Z</dcterms:modified>
</cp:coreProperties>
</file>