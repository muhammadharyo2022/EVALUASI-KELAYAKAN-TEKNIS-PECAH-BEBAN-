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SKRIPSI\Lampiran Skripsi\"/>
    </mc:Choice>
  </mc:AlternateContent>
  <xr:revisionPtr revIDLastSave="0" documentId="13_ncr:1_{C5B00A57-85C3-4826-958E-61288F8EF96E}" xr6:coauthVersionLast="47" xr6:coauthVersionMax="47" xr10:uidLastSave="{00000000-0000-0000-0000-000000000000}"/>
  <bookViews>
    <workbookView xWindow="2730" yWindow="2730" windowWidth="14190" windowHeight="11295" xr2:uid="{261B9DEB-9B6A-4A0D-BE61-6CDB2B88F1C8}"/>
  </bookViews>
  <sheets>
    <sheet name="PB" sheetId="3" r:id="rId1"/>
    <sheet name="PB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3" l="1"/>
  <c r="G27" i="3"/>
  <c r="H27" i="3" s="1"/>
  <c r="F5" i="4"/>
  <c r="F4" i="4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F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6" i="3"/>
  <c r="F5" i="3"/>
</calcChain>
</file>

<file path=xl/sharedStrings.xml><?xml version="1.0" encoding="utf-8"?>
<sst xmlns="http://schemas.openxmlformats.org/spreadsheetml/2006/main" count="99" uniqueCount="40">
  <si>
    <t>Bus</t>
  </si>
  <si>
    <t>Voltage</t>
  </si>
  <si>
    <t>ID</t>
  </si>
  <si>
    <t>kV</t>
  </si>
  <si>
    <t>%Mag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</si>
  <si>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</si>
  <si>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</si>
  <si>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</si>
  <si>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</si>
  <si>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</si>
  <si>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</si>
  <si>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</si>
  <si>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</si>
  <si>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</si>
  <si>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</si>
  <si>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</si>
  <si>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</si>
  <si>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</si>
  <si>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</si>
  <si>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</si>
  <si>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</si>
  <si>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</si>
  <si>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</si>
  <si>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</si>
  <si>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Ang,</t>
  </si>
  <si>
    <t>Actual kV</t>
  </si>
  <si>
    <t>Bus ID</t>
  </si>
  <si>
    <t>Penyulang</t>
  </si>
  <si>
    <t>Penghantar Utama</t>
  </si>
  <si>
    <t>Arus Beban (A)</t>
  </si>
  <si>
    <t>KHA (A)</t>
  </si>
  <si>
    <t>Tingkat Pembebanan (%)</t>
  </si>
  <si>
    <t>Status</t>
  </si>
  <si>
    <t>KTN 05</t>
  </si>
  <si>
    <t>KTN 06</t>
  </si>
  <si>
    <t>Cable1</t>
  </si>
  <si>
    <t>Memenuhi</t>
  </si>
  <si>
    <t>Deviasi %</t>
  </si>
  <si>
    <t>Pecah Beban Penyulang</t>
  </si>
  <si>
    <t>Cable8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</si>
</sst>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11"/>
      <color theme="1"/>
      <name val="Aptos Narrow"/>
      <family val="2"/>
      <charset val="1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2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/>
    <xf numFmtId="2" fontId="1" fillId="0" borderId="1" xfId="0" applyNumberFormat="1" applyFon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286089238845"/>
          <c:y val="0.19486111111111112"/>
          <c:w val="0.85847462817147857"/>
          <c:h val="0.6619400699912511"/>
        </c:manualLayout>
      </c:layout>
      <c:lineChart>
        <c:grouping val="standard"/>
        <c:varyColors val="0"/>
        <c:ser>
          <c:idx val="0"/>
          <c:order val="0"/>
          <c:tx>
            <c:strRef>
              <c:f>PB!$C$26</c:f>
              <c:strCache>
                <c:ptCount val="1"/>
                <c:pt idx="0">
                  <c:v>Actual kV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PB!$B$27:$B$44</c:f>
              <c:strCache>
                <c:ptCount val="18"/>
                <c:pt idx="0">
                  <c:v>Bus2</c:v>
                </c:pt>
                <c:pt idx="1">
                  <c:v>Bus3</c:v>
                </c:pt>
                <c:pt idx="2">
                  <c:v>Bus4</c:v>
                </c:pt>
                <c:pt idx="3">
                  <c:v>Bus5</c:v>
                </c:pt>
                <c:pt idx="4">
                  <c:v>Bus6</c:v>
                </c:pt>
                <c:pt idx="5">
                  <c:v>Bus7</c:v>
                </c:pt>
                <c:pt idx="6">
                  <c:v>Bus8</c:v>
                </c:pt>
                <c:pt idx="7">
                  <c:v>Bus9</c:v>
                </c:pt>
                <c:pt idx="8">
                  <c:v>Bus10</c:v>
                </c:pt>
                <c:pt idx="9">
                  <c:v>Bus11</c:v>
                </c:pt>
                <c:pt idx="10">
                  <c:v>Bus12</c:v>
                </c:pt>
                <c:pt idx="11">
                  <c:v>Bus13</c:v>
                </c:pt>
                <c:pt idx="12">
                  <c:v>Bus14</c:v>
                </c:pt>
                <c:pt idx="13">
                  <c:v>Bus15</c:v>
                </c:pt>
                <c:pt idx="14">
                  <c:v>Bus16</c:v>
                </c:pt>
                <c:pt idx="15">
                  <c:v>Bus17</c:v>
                </c:pt>
                <c:pt idx="16">
                  <c:v>Bus18</c:v>
                </c:pt>
                <c:pt idx="17">
                  <c:v>Bus19</c:v>
                </c:pt>
              </c:strCache>
            </c:strRef>
          </c:cat>
          <c:val>
            <c:numRef>
              <c:f>PB!$C$27:$C$44</c:f>
              <c:numCache>
                <c:formatCode>0.000</c:formatCode>
                <c:ptCount val="18"/>
                <c:pt idx="0">
                  <c:v>19.983600000000003</c:v>
                </c:pt>
                <c:pt idx="1">
                  <c:v>19.943000000000001</c:v>
                </c:pt>
                <c:pt idx="2">
                  <c:v>19.9024</c:v>
                </c:pt>
                <c:pt idx="3">
                  <c:v>19.881200000000003</c:v>
                </c:pt>
                <c:pt idx="4">
                  <c:v>19.882800000000003</c:v>
                </c:pt>
                <c:pt idx="5">
                  <c:v>19.863399999999999</c:v>
                </c:pt>
                <c:pt idx="6">
                  <c:v>19.844000000000001</c:v>
                </c:pt>
                <c:pt idx="7">
                  <c:v>19.906800000000004</c:v>
                </c:pt>
                <c:pt idx="8">
                  <c:v>19.784200000000002</c:v>
                </c:pt>
                <c:pt idx="9">
                  <c:v>19.662200000000002</c:v>
                </c:pt>
                <c:pt idx="10">
                  <c:v>19.540400000000002</c:v>
                </c:pt>
                <c:pt idx="11">
                  <c:v>19.516000000000002</c:v>
                </c:pt>
                <c:pt idx="12">
                  <c:v>19.5214</c:v>
                </c:pt>
                <c:pt idx="13">
                  <c:v>19.462200000000003</c:v>
                </c:pt>
                <c:pt idx="14">
                  <c:v>19.805000000000003</c:v>
                </c:pt>
                <c:pt idx="15">
                  <c:v>19.785600000000002</c:v>
                </c:pt>
                <c:pt idx="16">
                  <c:v>19.824400000000001</c:v>
                </c:pt>
                <c:pt idx="17">
                  <c:v>19.9024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2-4581-9F59-46EB2076F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910879"/>
        <c:axId val="1485898399"/>
      </c:lineChart>
      <c:catAx>
        <c:axId val="148591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98399"/>
        <c:crosses val="autoZero"/>
        <c:auto val="1"/>
        <c:lblAlgn val="ctr"/>
        <c:lblOffset val="100"/>
        <c:noMultiLvlLbl val="0"/>
      </c:catAx>
      <c:valAx>
        <c:axId val="14858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</a:t>
                </a:r>
                <a:r>
                  <a:rPr lang="en-ID" baseline="0"/>
                  <a:t> Aktual kV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1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Deviasi Tegangan Bus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PB!$H$26</c:f>
              <c:strCache>
                <c:ptCount val="1"/>
                <c:pt idx="0">
                  <c:v>Deviasi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PB!$F$27:$F$44</c:f>
              <c:strCache>
                <c:ptCount val="18"/>
                <c:pt idx="0">
                  <c:v>Bus2</c:v>
                </c:pt>
                <c:pt idx="1">
                  <c:v>Bus3</c:v>
                </c:pt>
                <c:pt idx="2">
                  <c:v>Bus4</c:v>
                </c:pt>
                <c:pt idx="3">
                  <c:v>Bus5</c:v>
                </c:pt>
                <c:pt idx="4">
                  <c:v>Bus6</c:v>
                </c:pt>
                <c:pt idx="5">
                  <c:v>Bus7</c:v>
                </c:pt>
                <c:pt idx="6">
                  <c:v>Bus8</c:v>
                </c:pt>
                <c:pt idx="7">
                  <c:v>Bus9</c:v>
                </c:pt>
                <c:pt idx="8">
                  <c:v>Bus10</c:v>
                </c:pt>
                <c:pt idx="9">
                  <c:v>Bus11</c:v>
                </c:pt>
                <c:pt idx="10">
                  <c:v>Bus12</c:v>
                </c:pt>
                <c:pt idx="11">
                  <c:v>Bus13</c:v>
                </c:pt>
                <c:pt idx="12">
                  <c:v>Bus14</c:v>
                </c:pt>
                <c:pt idx="13">
                  <c:v>Bus15</c:v>
                </c:pt>
                <c:pt idx="14">
                  <c:v>Bus16</c:v>
                </c:pt>
                <c:pt idx="15">
                  <c:v>Bus17</c:v>
                </c:pt>
                <c:pt idx="16">
                  <c:v>Bus18</c:v>
                </c:pt>
                <c:pt idx="17">
                  <c:v>Bus19</c:v>
                </c:pt>
              </c:strCache>
            </c:strRef>
          </c:cat>
          <c:val>
            <c:numRef>
              <c:f>PB!$H$27:$H$44</c:f>
              <c:numCache>
                <c:formatCode>0.000</c:formatCode>
                <c:ptCount val="18"/>
                <c:pt idx="0">
                  <c:v>-8.1999999999986528E-2</c:v>
                </c:pt>
                <c:pt idx="1">
                  <c:v>-0.28499999999999304</c:v>
                </c:pt>
                <c:pt idx="2">
                  <c:v>-0.48799999999999955</c:v>
                </c:pt>
                <c:pt idx="3">
                  <c:v>-0.59399999999998343</c:v>
                </c:pt>
                <c:pt idx="4">
                  <c:v>-0.58599999999998431</c:v>
                </c:pt>
                <c:pt idx="5">
                  <c:v>-0.68300000000000693</c:v>
                </c:pt>
                <c:pt idx="6">
                  <c:v>-0.77999999999999403</c:v>
                </c:pt>
                <c:pt idx="7">
                  <c:v>-0.46599999999997982</c:v>
                </c:pt>
                <c:pt idx="8">
                  <c:v>-1.07899999999999</c:v>
                </c:pt>
                <c:pt idx="9">
                  <c:v>-1.6889999999999894</c:v>
                </c:pt>
                <c:pt idx="10">
                  <c:v>-2.2979999999999912</c:v>
                </c:pt>
                <c:pt idx="11">
                  <c:v>-2.419999999999991</c:v>
                </c:pt>
                <c:pt idx="12">
                  <c:v>-2.3930000000000007</c:v>
                </c:pt>
                <c:pt idx="13">
                  <c:v>-2.6889999999999858</c:v>
                </c:pt>
                <c:pt idx="14">
                  <c:v>-0.97499999999998366</c:v>
                </c:pt>
                <c:pt idx="15">
                  <c:v>-1.0719999999999885</c:v>
                </c:pt>
                <c:pt idx="16">
                  <c:v>-0.87799999999999645</c:v>
                </c:pt>
                <c:pt idx="17">
                  <c:v>-0.48799999999999955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0-40BD-8F7F-01DEE9DEB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551647"/>
        <c:axId val="1075552127"/>
      </c:lineChart>
      <c:catAx>
        <c:axId val="107555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552127"/>
        <c:crosses val="autoZero"/>
        <c:auto val="1"/>
        <c:lblAlgn val="ctr"/>
        <c:lblOffset val="100"/>
        <c:noMultiLvlLbl val="0"/>
      </c:catAx>
      <c:valAx>
        <c:axId val="1075552127"/>
        <c:scaling>
          <c:orientation val="minMax"/>
          <c:max val="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Deviasi Tegangan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55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52</xdr:row>
      <xdr:rowOff>42862</xdr:rowOff>
    </xdr:from>
    <xdr:to>
      <xdr:col>7</xdr:col>
      <xdr:colOff>561976</xdr:colOff>
      <xdr:row>65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6AEE2-0086-67B1-C39D-371B03332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476250</xdr:colOff>
      <xdr:row>16</xdr:row>
      <xdr:rowOff>77560</xdr:rowOff>
    </xdr:from>
    <xdr:to>
      <xdr:col>17</xdr:col>
      <xdr:colOff>149678</xdr:colOff>
      <xdr:row>30</xdr:row>
      <xdr:rowOff>153760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70E8BA-F55A-5EA1-9087-013166DF6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B1D9-FE7E-4305-8489-A1B86BDB8C74}">
  <dimension ref="B3:I44"/>
  <sheetViews>
    <sheetView tabSelected="1" zoomScaleNormal="100" workbookViewId="0">
      <selection activeCell="J13" sqref="J13"/>
    </sheetView>
  </sheetViews>
  <sheetFormatPr defaultRowHeight="15" x14ac:dyDescent="0.25"/>
  <cols>
    <col min="9" max="9" width="10" customWidth="1"/>
  </cols>
  <sheetData>
    <row r="3" spans="2:6" x14ac:dyDescent="0.25">
      <c r="B3" s="11" t="s">
        <v>0</v>
      </c>
      <c r="C3" s="12"/>
      <c r="D3" s="13" t="s">
        <v>1</v>
      </c>
      <c r="E3" s="14"/>
      <c r="F3" s="14"/>
    </row>
    <row r="4" spans="2:6" x14ac:dyDescent="0.25">
      <c r="B4" s="5" t="s">
        <v>2</v>
      </c>
      <c r="C4" s="5" t="s">
        <v>3</v>
      </c>
      <c r="D4" s="5" t="s">
        <v>4</v>
      </c>
      <c r="E4" s="5" t="s">
        <v>24</v>
      </c>
      <c r="F4" s="5" t="s">
        <v>25</v>
      </c>
    </row>
    <row r="5" spans="2:6" x14ac:dyDescent="0.25">
      <c r="B5" s="1" t="s">
        <v>5</v>
      </c>
      <c r="C5" s="2">
        <v>150</v>
      </c>
      <c r="D5" s="2">
        <v>100</v>
      </c>
      <c r="E5" s="3">
        <v>0</v>
      </c>
      <c r="F5" s="6">
        <f>(C5/100)*D5</f>
        <v>150</v>
      </c>
    </row>
    <row r="6" spans="2:6" x14ac:dyDescent="0.25">
      <c r="B6" s="1" t="s">
        <v>6</v>
      </c>
      <c r="C6" s="2">
        <v>20</v>
      </c>
      <c r="D6" s="4">
        <v>99.918000000000006</v>
      </c>
      <c r="E6" s="3">
        <v>0</v>
      </c>
      <c r="F6" s="6">
        <f t="shared" ref="F6:F23" si="0">(C6/100)*D6</f>
        <v>19.983600000000003</v>
      </c>
    </row>
    <row r="7" spans="2:6" x14ac:dyDescent="0.25">
      <c r="B7" s="1" t="s">
        <v>7</v>
      </c>
      <c r="C7" s="2">
        <v>20</v>
      </c>
      <c r="D7" s="4">
        <v>99.715000000000003</v>
      </c>
      <c r="E7" s="3">
        <v>0</v>
      </c>
      <c r="F7" s="6">
        <f>(C7/100)*D7</f>
        <v>19.943000000000001</v>
      </c>
    </row>
    <row r="8" spans="2:6" x14ac:dyDescent="0.25">
      <c r="B8" s="1" t="s">
        <v>8</v>
      </c>
      <c r="C8" s="2">
        <v>20</v>
      </c>
      <c r="D8" s="4">
        <v>99.512</v>
      </c>
      <c r="E8" s="3">
        <v>0</v>
      </c>
      <c r="F8" s="6">
        <f t="shared" si="0"/>
        <v>19.9024</v>
      </c>
    </row>
    <row r="9" spans="2:6" x14ac:dyDescent="0.25">
      <c r="B9" s="1" t="s">
        <v>9</v>
      </c>
      <c r="C9" s="2">
        <v>20</v>
      </c>
      <c r="D9" s="4">
        <v>99.406000000000006</v>
      </c>
      <c r="E9" s="3">
        <v>0</v>
      </c>
      <c r="F9" s="6">
        <f t="shared" si="0"/>
        <v>19.881200000000003</v>
      </c>
    </row>
    <row r="10" spans="2:6" x14ac:dyDescent="0.25">
      <c r="B10" s="1" t="s">
        <v>10</v>
      </c>
      <c r="C10" s="2">
        <v>20</v>
      </c>
      <c r="D10" s="4">
        <v>99.414000000000001</v>
      </c>
      <c r="E10" s="3">
        <v>0</v>
      </c>
      <c r="F10" s="6">
        <f t="shared" si="0"/>
        <v>19.882800000000003</v>
      </c>
    </row>
    <row r="11" spans="2:6" x14ac:dyDescent="0.25">
      <c r="B11" s="1" t="s">
        <v>11</v>
      </c>
      <c r="C11" s="2">
        <v>20</v>
      </c>
      <c r="D11" s="4">
        <v>99.316999999999993</v>
      </c>
      <c r="E11" s="3">
        <v>0</v>
      </c>
      <c r="F11" s="6">
        <f t="shared" si="0"/>
        <v>19.863399999999999</v>
      </c>
    </row>
    <row r="12" spans="2:6" x14ac:dyDescent="0.25">
      <c r="B12" s="1" t="s">
        <v>12</v>
      </c>
      <c r="C12" s="2">
        <v>20</v>
      </c>
      <c r="D12" s="4">
        <v>99.22</v>
      </c>
      <c r="E12" s="3">
        <v>0</v>
      </c>
      <c r="F12" s="6">
        <f t="shared" si="0"/>
        <v>19.844000000000001</v>
      </c>
    </row>
    <row r="13" spans="2:6" x14ac:dyDescent="0.25">
      <c r="B13" s="1" t="s">
        <v>13</v>
      </c>
      <c r="C13" s="2">
        <v>20</v>
      </c>
      <c r="D13" s="4">
        <v>99.534000000000006</v>
      </c>
      <c r="E13" s="3">
        <v>-0.3</v>
      </c>
      <c r="F13" s="6">
        <f t="shared" si="0"/>
        <v>19.906800000000004</v>
      </c>
    </row>
    <row r="14" spans="2:6" x14ac:dyDescent="0.25">
      <c r="B14" s="1" t="s">
        <v>14</v>
      </c>
      <c r="C14" s="2">
        <v>20</v>
      </c>
      <c r="D14" s="4">
        <v>98.921000000000006</v>
      </c>
      <c r="E14" s="3">
        <v>-0.3</v>
      </c>
      <c r="F14" s="6">
        <f t="shared" si="0"/>
        <v>19.784200000000002</v>
      </c>
    </row>
    <row r="15" spans="2:6" x14ac:dyDescent="0.25">
      <c r="B15" s="1" t="s">
        <v>15</v>
      </c>
      <c r="C15" s="2">
        <v>20</v>
      </c>
      <c r="D15" s="4">
        <v>98.311000000000007</v>
      </c>
      <c r="E15" s="3">
        <v>-0.4</v>
      </c>
      <c r="F15" s="6">
        <f t="shared" si="0"/>
        <v>19.662200000000002</v>
      </c>
    </row>
    <row r="16" spans="2:6" x14ac:dyDescent="0.25">
      <c r="B16" s="1" t="s">
        <v>16</v>
      </c>
      <c r="C16" s="2">
        <v>20</v>
      </c>
      <c r="D16" s="4">
        <v>97.701999999999998</v>
      </c>
      <c r="E16" s="3">
        <v>-0.4</v>
      </c>
      <c r="F16" s="6">
        <f t="shared" si="0"/>
        <v>19.540400000000002</v>
      </c>
    </row>
    <row r="17" spans="2:9" x14ac:dyDescent="0.25">
      <c r="B17" s="1" t="s">
        <v>17</v>
      </c>
      <c r="C17" s="2">
        <v>20</v>
      </c>
      <c r="D17" s="4">
        <v>97.58</v>
      </c>
      <c r="E17" s="3">
        <v>-0.4</v>
      </c>
      <c r="F17" s="6">
        <f t="shared" si="0"/>
        <v>19.516000000000002</v>
      </c>
    </row>
    <row r="18" spans="2:9" x14ac:dyDescent="0.25">
      <c r="B18" s="1" t="s">
        <v>18</v>
      </c>
      <c r="C18" s="2">
        <v>20</v>
      </c>
      <c r="D18" s="4">
        <v>97.606999999999999</v>
      </c>
      <c r="E18" s="3">
        <v>-0.4</v>
      </c>
      <c r="F18" s="6">
        <f t="shared" si="0"/>
        <v>19.5214</v>
      </c>
    </row>
    <row r="19" spans="2:9" x14ac:dyDescent="0.25">
      <c r="B19" s="1" t="s">
        <v>19</v>
      </c>
      <c r="C19" s="2">
        <v>20</v>
      </c>
      <c r="D19" s="4">
        <v>97.311000000000007</v>
      </c>
      <c r="E19" s="3">
        <v>-0.4</v>
      </c>
      <c r="F19" s="6">
        <f t="shared" si="0"/>
        <v>19.462200000000003</v>
      </c>
    </row>
    <row r="20" spans="2:9" x14ac:dyDescent="0.25">
      <c r="B20" s="1" t="s">
        <v>20</v>
      </c>
      <c r="C20" s="2">
        <v>20</v>
      </c>
      <c r="D20" s="4">
        <v>99.025000000000006</v>
      </c>
      <c r="E20" s="3">
        <v>-0.4</v>
      </c>
      <c r="F20" s="6">
        <f t="shared" si="0"/>
        <v>19.805000000000003</v>
      </c>
    </row>
    <row r="21" spans="2:9" x14ac:dyDescent="0.25">
      <c r="B21" s="1" t="s">
        <v>21</v>
      </c>
      <c r="C21" s="2">
        <v>20</v>
      </c>
      <c r="D21" s="4">
        <v>98.927999999999997</v>
      </c>
      <c r="E21" s="3">
        <v>-0.4</v>
      </c>
      <c r="F21" s="6">
        <f t="shared" si="0"/>
        <v>19.785600000000002</v>
      </c>
    </row>
    <row r="22" spans="2:9" x14ac:dyDescent="0.25">
      <c r="B22" s="1" t="s">
        <v>22</v>
      </c>
      <c r="C22" s="2">
        <v>20</v>
      </c>
      <c r="D22" s="4">
        <v>99.122</v>
      </c>
      <c r="E22" s="3">
        <v>0</v>
      </c>
      <c r="F22" s="6">
        <f t="shared" si="0"/>
        <v>19.824400000000001</v>
      </c>
    </row>
    <row r="23" spans="2:9" x14ac:dyDescent="0.25">
      <c r="B23" s="1" t="s">
        <v>23</v>
      </c>
      <c r="C23" s="2">
        <v>20</v>
      </c>
      <c r="D23" s="4">
        <v>99.512</v>
      </c>
      <c r="E23" s="3">
        <v>-0.4</v>
      </c>
      <c r="F23" s="6">
        <f t="shared" si="0"/>
        <v>19.9024</v>
      </c>
    </row>
    <row r="26" spans="2:9" x14ac:dyDescent="0.25">
      <c r="B26" s="5" t="s">
        <v>26</v>
      </c>
      <c r="C26" s="5" t="s">
        <v>25</v>
      </c>
      <c r="F26" s="5" t="s">
        <v>26</v>
      </c>
      <c r="G26" s="5" t="s">
        <v>25</v>
      </c>
      <c r="H26" s="5" t="s">
        <v>37</v>
      </c>
      <c r="I26" s="5" t="s">
        <v>32</v>
      </c>
    </row>
    <row r="27" spans="2:9" x14ac:dyDescent="0.25">
      <c r="B27" s="1" t="s">
        <v>6</v>
      </c>
      <c r="C27" s="7">
        <f>(C6/100)*D6</f>
        <v>19.983600000000003</v>
      </c>
      <c r="F27" s="1" t="s">
        <v>6</v>
      </c>
      <c r="G27" s="7">
        <f>(C6/100)*D6</f>
        <v>19.983600000000003</v>
      </c>
      <c r="H27" s="7">
        <f>((G27-20)/20)*100</f>
        <v>-8.1999999999986528E-2</v>
      </c>
      <c r="I27" s="1" t="s">
        <v>36</v>
      </c>
    </row>
    <row r="28" spans="2:9" x14ac:dyDescent="0.25">
      <c r="B28" s="1" t="s">
        <v>7</v>
      </c>
      <c r="C28" s="7">
        <f t="shared" ref="C28:C44" si="1">(C7/100)*D7</f>
        <v>19.943000000000001</v>
      </c>
      <c r="F28" s="1" t="s">
        <v>7</v>
      </c>
      <c r="G28" s="7">
        <f t="shared" ref="G28:G44" si="2">(C7/100)*D7</f>
        <v>19.943000000000001</v>
      </c>
      <c r="H28" s="7">
        <f t="shared" ref="H28:H44" si="3">((G28-20)/20)*100</f>
        <v>-0.28499999999999304</v>
      </c>
      <c r="I28" s="1" t="s">
        <v>36</v>
      </c>
    </row>
    <row r="29" spans="2:9" x14ac:dyDescent="0.25">
      <c r="B29" s="1" t="s">
        <v>8</v>
      </c>
      <c r="C29" s="7">
        <f t="shared" si="1"/>
        <v>19.9024</v>
      </c>
      <c r="F29" s="1" t="s">
        <v>8</v>
      </c>
      <c r="G29" s="7">
        <f t="shared" si="2"/>
        <v>19.9024</v>
      </c>
      <c r="H29" s="7">
        <f t="shared" si="3"/>
        <v>-0.48799999999999955</v>
      </c>
      <c r="I29" s="1" t="s">
        <v>36</v>
      </c>
    </row>
    <row r="30" spans="2:9" x14ac:dyDescent="0.25">
      <c r="B30" s="1" t="s">
        <v>9</v>
      </c>
      <c r="C30" s="7">
        <f t="shared" si="1"/>
        <v>19.881200000000003</v>
      </c>
      <c r="F30" s="1" t="s">
        <v>9</v>
      </c>
      <c r="G30" s="7">
        <f t="shared" si="2"/>
        <v>19.881200000000003</v>
      </c>
      <c r="H30" s="7">
        <f t="shared" si="3"/>
        <v>-0.59399999999998343</v>
      </c>
      <c r="I30" s="1" t="s">
        <v>36</v>
      </c>
    </row>
    <row r="31" spans="2:9" x14ac:dyDescent="0.25">
      <c r="B31" s="1" t="s">
        <v>10</v>
      </c>
      <c r="C31" s="7">
        <f t="shared" si="1"/>
        <v>19.882800000000003</v>
      </c>
      <c r="F31" s="1" t="s">
        <v>10</v>
      </c>
      <c r="G31" s="7">
        <f t="shared" si="2"/>
        <v>19.882800000000003</v>
      </c>
      <c r="H31" s="7">
        <f t="shared" si="3"/>
        <v>-0.58599999999998431</v>
      </c>
      <c r="I31" s="1" t="s">
        <v>36</v>
      </c>
    </row>
    <row r="32" spans="2:9" x14ac:dyDescent="0.25">
      <c r="B32" s="1" t="s">
        <v>11</v>
      </c>
      <c r="C32" s="7">
        <f t="shared" si="1"/>
        <v>19.863399999999999</v>
      </c>
      <c r="F32" s="1" t="s">
        <v>11</v>
      </c>
      <c r="G32" s="7">
        <f t="shared" si="2"/>
        <v>19.863399999999999</v>
      </c>
      <c r="H32" s="7">
        <f t="shared" si="3"/>
        <v>-0.68300000000000693</v>
      </c>
      <c r="I32" s="1" t="s">
        <v>36</v>
      </c>
    </row>
    <row r="33" spans="2:9" x14ac:dyDescent="0.25">
      <c r="B33" s="1" t="s">
        <v>12</v>
      </c>
      <c r="C33" s="7">
        <f t="shared" si="1"/>
        <v>19.844000000000001</v>
      </c>
      <c r="F33" s="1" t="s">
        <v>12</v>
      </c>
      <c r="G33" s="7">
        <f t="shared" si="2"/>
        <v>19.844000000000001</v>
      </c>
      <c r="H33" s="7">
        <f t="shared" si="3"/>
        <v>-0.77999999999999403</v>
      </c>
      <c r="I33" s="1" t="s">
        <v>36</v>
      </c>
    </row>
    <row r="34" spans="2:9" x14ac:dyDescent="0.25">
      <c r="B34" s="1" t="s">
        <v>13</v>
      </c>
      <c r="C34" s="7">
        <f t="shared" si="1"/>
        <v>19.906800000000004</v>
      </c>
      <c r="F34" s="1" t="s">
        <v>13</v>
      </c>
      <c r="G34" s="7">
        <f t="shared" si="2"/>
        <v>19.906800000000004</v>
      </c>
      <c r="H34" s="7">
        <f t="shared" si="3"/>
        <v>-0.46599999999997982</v>
      </c>
      <c r="I34" s="1" t="s">
        <v>36</v>
      </c>
    </row>
    <row r="35" spans="2:9" x14ac:dyDescent="0.25">
      <c r="B35" s="1" t="s">
        <v>14</v>
      </c>
      <c r="C35" s="7">
        <f t="shared" si="1"/>
        <v>19.784200000000002</v>
      </c>
      <c r="F35" s="1" t="s">
        <v>14</v>
      </c>
      <c r="G35" s="7">
        <f t="shared" si="2"/>
        <v>19.784200000000002</v>
      </c>
      <c r="H35" s="7">
        <f t="shared" si="3"/>
        <v>-1.07899999999999</v>
      </c>
      <c r="I35" s="1" t="s">
        <v>36</v>
      </c>
    </row>
    <row r="36" spans="2:9" x14ac:dyDescent="0.25">
      <c r="B36" s="1" t="s">
        <v>15</v>
      </c>
      <c r="C36" s="7">
        <f t="shared" si="1"/>
        <v>19.662200000000002</v>
      </c>
      <c r="F36" s="1" t="s">
        <v>15</v>
      </c>
      <c r="G36" s="7">
        <f t="shared" si="2"/>
        <v>19.662200000000002</v>
      </c>
      <c r="H36" s="7">
        <f t="shared" si="3"/>
        <v>-1.6889999999999894</v>
      </c>
      <c r="I36" s="1" t="s">
        <v>36</v>
      </c>
    </row>
    <row r="37" spans="2:9" x14ac:dyDescent="0.25">
      <c r="B37" s="1" t="s">
        <v>16</v>
      </c>
      <c r="C37" s="7">
        <f t="shared" si="1"/>
        <v>19.540400000000002</v>
      </c>
      <c r="F37" s="1" t="s">
        <v>16</v>
      </c>
      <c r="G37" s="7">
        <f t="shared" si="2"/>
        <v>19.540400000000002</v>
      </c>
      <c r="H37" s="7">
        <f t="shared" si="3"/>
        <v>-2.2979999999999912</v>
      </c>
      <c r="I37" s="1" t="s">
        <v>36</v>
      </c>
    </row>
    <row r="38" spans="2:9" x14ac:dyDescent="0.25">
      <c r="B38" s="1" t="s">
        <v>17</v>
      </c>
      <c r="C38" s="7">
        <f t="shared" si="1"/>
        <v>19.516000000000002</v>
      </c>
      <c r="F38" s="1" t="s">
        <v>17</v>
      </c>
      <c r="G38" s="7">
        <f t="shared" si="2"/>
        <v>19.516000000000002</v>
      </c>
      <c r="H38" s="7">
        <f t="shared" si="3"/>
        <v>-2.419999999999991</v>
      </c>
      <c r="I38" s="1" t="s">
        <v>36</v>
      </c>
    </row>
    <row r="39" spans="2:9" x14ac:dyDescent="0.25">
      <c r="B39" s="1" t="s">
        <v>18</v>
      </c>
      <c r="C39" s="7">
        <f t="shared" si="1"/>
        <v>19.5214</v>
      </c>
      <c r="F39" s="1" t="s">
        <v>18</v>
      </c>
      <c r="G39" s="7">
        <f t="shared" si="2"/>
        <v>19.5214</v>
      </c>
      <c r="H39" s="7">
        <f t="shared" si="3"/>
        <v>-2.3930000000000007</v>
      </c>
      <c r="I39" s="1" t="s">
        <v>36</v>
      </c>
    </row>
    <row r="40" spans="2:9" x14ac:dyDescent="0.25">
      <c r="B40" s="1" t="s">
        <v>19</v>
      </c>
      <c r="C40" s="7">
        <f t="shared" si="1"/>
        <v>19.462200000000003</v>
      </c>
      <c r="F40" s="1" t="s">
        <v>19</v>
      </c>
      <c r="G40" s="7">
        <f t="shared" si="2"/>
        <v>19.462200000000003</v>
      </c>
      <c r="H40" s="7">
        <f t="shared" si="3"/>
        <v>-2.6889999999999858</v>
      </c>
      <c r="I40" s="1" t="s">
        <v>36</v>
      </c>
    </row>
    <row r="41" spans="2:9" x14ac:dyDescent="0.25">
      <c r="B41" s="1" t="s">
        <v>20</v>
      </c>
      <c r="C41" s="7">
        <f t="shared" si="1"/>
        <v>19.805000000000003</v>
      </c>
      <c r="F41" s="1" t="s">
        <v>20</v>
      </c>
      <c r="G41" s="7">
        <f t="shared" si="2"/>
        <v>19.805000000000003</v>
      </c>
      <c r="H41" s="7">
        <f t="shared" si="3"/>
        <v>-0.97499999999998366</v>
      </c>
      <c r="I41" s="1" t="s">
        <v>36</v>
      </c>
    </row>
    <row r="42" spans="2:9" x14ac:dyDescent="0.25">
      <c r="B42" s="1" t="s">
        <v>21</v>
      </c>
      <c r="C42" s="7">
        <f t="shared" si="1"/>
        <v>19.785600000000002</v>
      </c>
      <c r="F42" s="1" t="s">
        <v>21</v>
      </c>
      <c r="G42" s="7">
        <f t="shared" si="2"/>
        <v>19.785600000000002</v>
      </c>
      <c r="H42" s="7">
        <f t="shared" si="3"/>
        <v>-1.0719999999999885</v>
      </c>
      <c r="I42" s="1" t="s">
        <v>36</v>
      </c>
    </row>
    <row r="43" spans="2:9" x14ac:dyDescent="0.25">
      <c r="B43" s="1" t="s">
        <v>22</v>
      </c>
      <c r="C43" s="7">
        <f t="shared" si="1"/>
        <v>19.824400000000001</v>
      </c>
      <c r="F43" s="1" t="s">
        <v>22</v>
      </c>
      <c r="G43" s="7">
        <f t="shared" si="2"/>
        <v>19.824400000000001</v>
      </c>
      <c r="H43" s="7">
        <f t="shared" si="3"/>
        <v>-0.87799999999999645</v>
      </c>
      <c r="I43" s="1" t="s">
        <v>36</v>
      </c>
    </row>
    <row r="44" spans="2:9" x14ac:dyDescent="0.25">
      <c r="B44" s="1" t="s">
        <v>23</v>
      </c>
      <c r="C44" s="7">
        <f t="shared" si="1"/>
        <v>19.9024</v>
      </c>
      <c r="F44" s="1" t="s">
        <v>23</v>
      </c>
      <c r="G44" s="7">
        <f t="shared" si="2"/>
        <v>19.9024</v>
      </c>
      <c r="H44" s="7">
        <f t="shared" si="3"/>
        <v>-0.48799999999999955</v>
      </c>
      <c r="I44" s="1" t="s">
        <v>36</v>
      </c>
    </row>
  </sheetData>
  <mergeCells count="2">
    <mergeCell ref="B3:C3"/>
    <mergeCell ref="D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3C13-DB45-4CD6-81E5-3777140F2F06}">
  <dimension ref="B2:G5"/>
  <sheetViews>
    <sheetView workbookViewId="0">
      <selection activeCell="D6" sqref="D6"/>
    </sheetView>
  </sheetViews>
  <sheetFormatPr defaultRowHeight="15" x14ac:dyDescent="0.25"/>
  <cols>
    <col min="3" max="4" width="18.28515625" customWidth="1"/>
    <col min="5" max="5" width="18.5703125" customWidth="1"/>
    <col min="6" max="6" width="25.5703125" customWidth="1"/>
    <col min="7" max="7" width="12.28515625" customWidth="1"/>
  </cols>
  <sheetData>
    <row r="2" spans="2:7" x14ac:dyDescent="0.25">
      <c r="B2" t="s">
        <v>38</v>
      </c>
    </row>
    <row r="3" spans="2:7" ht="15.75" x14ac:dyDescent="0.25"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</row>
    <row r="4" spans="2:7" ht="15.75" x14ac:dyDescent="0.25">
      <c r="B4" s="8" t="s">
        <v>33</v>
      </c>
      <c r="C4" s="8" t="s">
        <v>35</v>
      </c>
      <c r="D4" s="8">
        <v>78.8</v>
      </c>
      <c r="E4" s="8">
        <v>585</v>
      </c>
      <c r="F4" s="10">
        <f>D4/E4*100</f>
        <v>13.470085470085468</v>
      </c>
      <c r="G4" s="8" t="s">
        <v>36</v>
      </c>
    </row>
    <row r="5" spans="2:7" ht="15.75" x14ac:dyDescent="0.25">
      <c r="B5" s="8" t="s">
        <v>34</v>
      </c>
      <c r="C5" s="8" t="s">
        <v>39</v>
      </c>
      <c r="D5" s="8">
        <v>236.2</v>
      </c>
      <c r="E5" s="8">
        <v>585</v>
      </c>
      <c r="F5" s="10">
        <f>D5/E5*100</f>
        <v>40.376068376068375</v>
      </c>
      <c r="G5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</vt:lpstr>
      <vt:lpstr>PB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Haryo Alauddin</dc:creator>
  <cp:lastModifiedBy>Muhammad Haryo Alauddin Ahnaf</cp:lastModifiedBy>
  <dcterms:created xsi:type="dcterms:W3CDTF">2026-06-26T20:49:55Z</dcterms:created>
  <dcterms:modified xsi:type="dcterms:W3CDTF">2026-07-17T17:52:59Z</dcterms:modified>
</cp:coreProperties>
</file>